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as Ecel\"/>
    </mc:Choice>
  </mc:AlternateContent>
  <xr:revisionPtr revIDLastSave="0" documentId="13_ncr:1_{7F73DE6A-61B2-4810-A1BB-AB6C7F11B00C}" xr6:coauthVersionLast="47" xr6:coauthVersionMax="47" xr10:uidLastSave="{00000000-0000-0000-0000-000000000000}"/>
  <bookViews>
    <workbookView xWindow="-110" yWindow="-110" windowWidth="19420" windowHeight="10300" xr2:uid="{729F1301-7E70-4C8A-8858-B30C8EC46D4F}"/>
  </bookViews>
  <sheets>
    <sheet name="INPUT" sheetId="1" r:id="rId1"/>
    <sheet name="Resume" sheetId="2" r:id="rId2"/>
  </sheets>
  <definedNames>
    <definedName name="_xlnm._FilterDatabase" localSheetId="1" hidden="1">Resume!$B$3:$H$10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2" l="1" a="1"/>
  <c r="D28" i="2"/>
  <c r="D33" i="2" s="1"/>
  <c r="E28" i="2" a="1"/>
  <c r="E28" i="2" s="1"/>
  <c r="F28" i="2" a="1"/>
  <c r="F28" i="2" s="1"/>
  <c r="F33" i="2" s="1"/>
  <c r="G28" i="2" a="1"/>
  <c r="G28" i="2"/>
  <c r="H28" i="2" a="1"/>
  <c r="H28" i="2"/>
  <c r="I28" i="2" a="1"/>
  <c r="I28" i="2"/>
  <c r="J28" i="2" a="1"/>
  <c r="J28" i="2" s="1"/>
  <c r="J33" i="2" s="1"/>
  <c r="K28" i="2" a="1"/>
  <c r="K28" i="2"/>
  <c r="L28" i="2" a="1"/>
  <c r="L28" i="2" s="1"/>
  <c r="L33" i="2" s="1"/>
  <c r="M28" i="2" a="1"/>
  <c r="M28" i="2"/>
  <c r="N28" i="2" a="1"/>
  <c r="N28" i="2"/>
  <c r="O28" i="2" a="1"/>
  <c r="O28" i="2"/>
  <c r="O33" i="2" s="1"/>
  <c r="P28" i="2" a="1"/>
  <c r="P28" i="2" s="1"/>
  <c r="P33" i="2" s="1"/>
  <c r="Q28" i="2" a="1"/>
  <c r="Q28" i="2"/>
  <c r="R28" i="2" a="1"/>
  <c r="R28" i="2" s="1"/>
  <c r="R33" i="2" s="1"/>
  <c r="S28" i="2" a="1"/>
  <c r="S28" i="2" s="1"/>
  <c r="S33" i="2" s="1"/>
  <c r="T28" i="2" a="1"/>
  <c r="T28" i="2"/>
  <c r="U28" i="2" a="1"/>
  <c r="U28" i="2"/>
  <c r="V28" i="2" a="1"/>
  <c r="V28" i="2" s="1"/>
  <c r="W28" i="2" a="1"/>
  <c r="W28" i="2"/>
  <c r="X28" i="2" a="1"/>
  <c r="X28" i="2"/>
  <c r="Y28" i="2" a="1"/>
  <c r="Y28" i="2" s="1"/>
  <c r="Y33" i="2" s="1"/>
  <c r="Z28" i="2" a="1"/>
  <c r="Z28" i="2"/>
  <c r="AA28" i="2" a="1"/>
  <c r="AA28" i="2"/>
  <c r="AB28" i="2" a="1"/>
  <c r="AB28" i="2" s="1"/>
  <c r="AB33" i="2" s="1"/>
  <c r="AC28" i="2" a="1"/>
  <c r="AC28" i="2"/>
  <c r="AC33" i="2" s="1"/>
  <c r="AD28" i="2" a="1"/>
  <c r="AD28" i="2"/>
  <c r="AE28" i="2" a="1"/>
  <c r="AE28" i="2" s="1"/>
  <c r="AF28" i="2" a="1"/>
  <c r="AF28" i="2" s="1"/>
  <c r="AF33" i="2" s="1"/>
  <c r="AG28" i="2" a="1"/>
  <c r="AG28" i="2"/>
  <c r="D29" i="2" a="1"/>
  <c r="D29" i="2" s="1"/>
  <c r="E29" i="2" a="1"/>
  <c r="E29" i="2"/>
  <c r="F29" i="2" a="1"/>
  <c r="F29" i="2"/>
  <c r="G29" i="2" a="1"/>
  <c r="G29" i="2"/>
  <c r="H29" i="2" a="1"/>
  <c r="H29" i="2" s="1"/>
  <c r="H33" i="2" s="1"/>
  <c r="I29" i="2" a="1"/>
  <c r="I29" i="2"/>
  <c r="J29" i="2" a="1"/>
  <c r="J29" i="2" s="1"/>
  <c r="K29" i="2" a="1"/>
  <c r="K29" i="2"/>
  <c r="L29" i="2" a="1"/>
  <c r="L29" i="2"/>
  <c r="M29" i="2" a="1"/>
  <c r="M29" i="2"/>
  <c r="N29" i="2" a="1"/>
  <c r="N29" i="2" s="1"/>
  <c r="O29" i="2" a="1"/>
  <c r="O29" i="2" s="1"/>
  <c r="P29" i="2" a="1"/>
  <c r="P29" i="2" s="1"/>
  <c r="Q29" i="2" a="1"/>
  <c r="Q29" i="2"/>
  <c r="R29" i="2" a="1"/>
  <c r="R29" i="2"/>
  <c r="S29" i="2" a="1"/>
  <c r="S29" i="2"/>
  <c r="T29" i="2" a="1"/>
  <c r="T29" i="2"/>
  <c r="U29" i="2" a="1"/>
  <c r="U29" i="2" s="1"/>
  <c r="U33" i="2" s="1"/>
  <c r="V29" i="2" a="1"/>
  <c r="V29" i="2" s="1"/>
  <c r="W29" i="2" a="1"/>
  <c r="W29" i="2"/>
  <c r="X29" i="2" a="1"/>
  <c r="X29" i="2"/>
  <c r="Y29" i="2" a="1"/>
  <c r="Y29" i="2"/>
  <c r="Z29" i="2" a="1"/>
  <c r="Z29" i="2"/>
  <c r="AA29" i="2" a="1"/>
  <c r="AA29" i="2" s="1"/>
  <c r="AB29" i="2" a="1"/>
  <c r="AB29" i="2" s="1"/>
  <c r="AC29" i="2" a="1"/>
  <c r="AC29" i="2"/>
  <c r="AD29" i="2" a="1"/>
  <c r="AD29" i="2"/>
  <c r="AE29" i="2" a="1"/>
  <c r="AE29" i="2"/>
  <c r="AF29" i="2" a="1"/>
  <c r="AF29" i="2"/>
  <c r="AG29" i="2" a="1"/>
  <c r="AG29" i="2"/>
  <c r="D30" i="2" a="1"/>
  <c r="D30" i="2" s="1"/>
  <c r="E30" i="2" a="1"/>
  <c r="E30" i="2" s="1"/>
  <c r="F30" i="2" a="1"/>
  <c r="F30" i="2"/>
  <c r="G30" i="2" a="1"/>
  <c r="G30" i="2"/>
  <c r="H30" i="2" a="1"/>
  <c r="H30" i="2"/>
  <c r="I30" i="2" a="1"/>
  <c r="I30" i="2"/>
  <c r="J30" i="2" a="1"/>
  <c r="J30" i="2" s="1"/>
  <c r="K30" i="2" a="1"/>
  <c r="K30" i="2" s="1"/>
  <c r="L30" i="2" a="1"/>
  <c r="L30" i="2"/>
  <c r="M30" i="2" a="1"/>
  <c r="M30" i="2"/>
  <c r="N30" i="2" a="1"/>
  <c r="N30" i="2"/>
  <c r="O30" i="2" a="1"/>
  <c r="O30" i="2"/>
  <c r="P30" i="2" a="1"/>
  <c r="P30" i="2" s="1"/>
  <c r="Q30" i="2" a="1"/>
  <c r="Q30" i="2" s="1"/>
  <c r="R30" i="2" a="1"/>
  <c r="R30" i="2" s="1"/>
  <c r="S30" i="2" a="1"/>
  <c r="S30" i="2"/>
  <c r="T30" i="2" a="1"/>
  <c r="T30" i="2"/>
  <c r="U30" i="2" a="1"/>
  <c r="U30" i="2"/>
  <c r="V30" i="2" a="1"/>
  <c r="V30" i="2" s="1"/>
  <c r="V33" i="2" s="1"/>
  <c r="W30" i="2" a="1"/>
  <c r="W30" i="2"/>
  <c r="X30" i="2" a="1"/>
  <c r="X30" i="2" s="1"/>
  <c r="Y30" i="2" a="1"/>
  <c r="Y30" i="2"/>
  <c r="Z30" i="2" a="1"/>
  <c r="Z30" i="2"/>
  <c r="AA30" i="2" a="1"/>
  <c r="AA30" i="2"/>
  <c r="AB30" i="2" a="1"/>
  <c r="AB30" i="2" s="1"/>
  <c r="AC30" i="2" a="1"/>
  <c r="AC30" i="2"/>
  <c r="AD30" i="2" a="1"/>
  <c r="AD30" i="2" s="1"/>
  <c r="AE30" i="2" a="1"/>
  <c r="AE30" i="2" s="1"/>
  <c r="AF30" i="2" a="1"/>
  <c r="AF30" i="2"/>
  <c r="AG30" i="2" a="1"/>
  <c r="AG30" i="2"/>
  <c r="D31" i="2" a="1"/>
  <c r="D31" i="2" s="1"/>
  <c r="E31" i="2" a="1"/>
  <c r="E31" i="2"/>
  <c r="F31" i="2" a="1"/>
  <c r="F31" i="2"/>
  <c r="G31" i="2" a="1"/>
  <c r="G31" i="2" s="1"/>
  <c r="H31" i="2" a="1"/>
  <c r="H31" i="2"/>
  <c r="I31" i="2" a="1"/>
  <c r="I31" i="2"/>
  <c r="J31" i="2" a="1"/>
  <c r="J31" i="2" s="1"/>
  <c r="K31" i="2" a="1"/>
  <c r="K31" i="2"/>
  <c r="L31" i="2" a="1"/>
  <c r="L31" i="2"/>
  <c r="M31" i="2" a="1"/>
  <c r="M31" i="2" s="1"/>
  <c r="N31" i="2" a="1"/>
  <c r="N31" i="2" s="1"/>
  <c r="O31" i="2" a="1"/>
  <c r="O31" i="2"/>
  <c r="P31" i="2" a="1"/>
  <c r="P31" i="2" s="1"/>
  <c r="Q31" i="2" a="1"/>
  <c r="Q31" i="2"/>
  <c r="R31" i="2" a="1"/>
  <c r="R31" i="2"/>
  <c r="S31" i="2" a="1"/>
  <c r="S31" i="2"/>
  <c r="T31" i="2" a="1"/>
  <c r="T31" i="2" s="1"/>
  <c r="U31" i="2" a="1"/>
  <c r="U31" i="2"/>
  <c r="V31" i="2" a="1"/>
  <c r="V31" i="2" s="1"/>
  <c r="W31" i="2" a="1"/>
  <c r="W31" i="2"/>
  <c r="X31" i="2" a="1"/>
  <c r="X31" i="2"/>
  <c r="Y31" i="2" a="1"/>
  <c r="Y31" i="2"/>
  <c r="Z31" i="2" a="1"/>
  <c r="Z31" i="2" s="1"/>
  <c r="AA31" i="2" a="1"/>
  <c r="AA31" i="2" s="1"/>
  <c r="AB31" i="2" a="1"/>
  <c r="AB31" i="2" s="1"/>
  <c r="AC31" i="2" a="1"/>
  <c r="AC31" i="2"/>
  <c r="AD31" i="2" a="1"/>
  <c r="AD31" i="2"/>
  <c r="AE31" i="2" a="1"/>
  <c r="AE31" i="2"/>
  <c r="AF31" i="2" a="1"/>
  <c r="AF31" i="2"/>
  <c r="AG31" i="2" a="1"/>
  <c r="AG31" i="2" s="1"/>
  <c r="D32" i="2" a="1"/>
  <c r="D32" i="2" s="1"/>
  <c r="E32" i="2" a="1"/>
  <c r="E32" i="2"/>
  <c r="F32" i="2" a="1"/>
  <c r="F32" i="2"/>
  <c r="G32" i="2" a="1"/>
  <c r="G32" i="2"/>
  <c r="H32" i="2" a="1"/>
  <c r="H32" i="2"/>
  <c r="I32" i="2" a="1"/>
  <c r="I32" i="2" s="1"/>
  <c r="J32" i="2" a="1"/>
  <c r="J32" i="2" s="1"/>
  <c r="K32" i="2" a="1"/>
  <c r="K32" i="2"/>
  <c r="L32" i="2" a="1"/>
  <c r="L32" i="2"/>
  <c r="M32" i="2" a="1"/>
  <c r="M32" i="2"/>
  <c r="N32" i="2" a="1"/>
  <c r="N32" i="2"/>
  <c r="O32" i="2" a="1"/>
  <c r="O32" i="2"/>
  <c r="P32" i="2" a="1"/>
  <c r="P32" i="2" s="1"/>
  <c r="Q32" i="2" a="1"/>
  <c r="Q32" i="2" s="1"/>
  <c r="R32" i="2" a="1"/>
  <c r="R32" i="2"/>
  <c r="S32" i="2" a="1"/>
  <c r="S32" i="2"/>
  <c r="T32" i="2" a="1"/>
  <c r="T32" i="2"/>
  <c r="U32" i="2" a="1"/>
  <c r="U32" i="2"/>
  <c r="V32" i="2" a="1"/>
  <c r="V32" i="2" s="1"/>
  <c r="W32" i="2" a="1"/>
  <c r="W32" i="2" s="1"/>
  <c r="X32" i="2" a="1"/>
  <c r="X32" i="2"/>
  <c r="Y32" i="2" a="1"/>
  <c r="Y32" i="2"/>
  <c r="Z32" i="2" a="1"/>
  <c r="Z32" i="2"/>
  <c r="AA32" i="2" a="1"/>
  <c r="AA32" i="2" s="1"/>
  <c r="AB32" i="2" a="1"/>
  <c r="AB32" i="2" s="1"/>
  <c r="AC32" i="2" a="1"/>
  <c r="AC32" i="2"/>
  <c r="AD32" i="2" a="1"/>
  <c r="AD32" i="2" s="1"/>
  <c r="AE32" i="2" a="1"/>
  <c r="AE32" i="2" s="1"/>
  <c r="AF32" i="2" a="1"/>
  <c r="AF32" i="2" s="1"/>
  <c r="AG32" i="2" a="1"/>
  <c r="AG32" i="2"/>
  <c r="C29" i="2" a="1"/>
  <c r="C29" i="2" s="1"/>
  <c r="C30" i="2" a="1"/>
  <c r="C30" i="2"/>
  <c r="C31" i="2" a="1"/>
  <c r="C31" i="2" s="1"/>
  <c r="C32" i="2" a="1"/>
  <c r="C32" i="2" s="1"/>
  <c r="C28" i="2" a="1"/>
  <c r="C28" i="2" s="1"/>
  <c r="C33" i="2" s="1"/>
  <c r="B26" i="2"/>
  <c r="D16" i="2" a="1"/>
  <c r="D16" i="2"/>
  <c r="D23" i="2" s="1"/>
  <c r="E16" i="2" a="1"/>
  <c r="E16" i="2"/>
  <c r="F16" i="2" a="1"/>
  <c r="F16" i="2" s="1"/>
  <c r="G16" i="2" a="1"/>
  <c r="G16" i="2"/>
  <c r="H16" i="2" a="1"/>
  <c r="H16" i="2"/>
  <c r="I16" i="2" a="1"/>
  <c r="I16" i="2"/>
  <c r="I23" i="2" s="1"/>
  <c r="J16" i="2" a="1"/>
  <c r="J16" i="2"/>
  <c r="J23" i="2" s="1"/>
  <c r="K16" i="2" a="1"/>
  <c r="K16" i="2"/>
  <c r="K23" i="2" s="1"/>
  <c r="L16" i="2" a="1"/>
  <c r="L16" i="2" s="1"/>
  <c r="M16" i="2" a="1"/>
  <c r="M16" i="2"/>
  <c r="N16" i="2" a="1"/>
  <c r="N16" i="2"/>
  <c r="O16" i="2" a="1"/>
  <c r="O16" i="2"/>
  <c r="P16" i="2" a="1"/>
  <c r="P16" i="2"/>
  <c r="P23" i="2" s="1"/>
  <c r="Q16" i="2" a="1"/>
  <c r="Q16" i="2"/>
  <c r="Q23" i="2" s="1"/>
  <c r="R16" i="2" a="1"/>
  <c r="R16" i="2" s="1"/>
  <c r="R23" i="2" s="1"/>
  <c r="S16" i="2" a="1"/>
  <c r="S16" i="2"/>
  <c r="T16" i="2" a="1"/>
  <c r="T16" i="2"/>
  <c r="U16" i="2" a="1"/>
  <c r="U16" i="2"/>
  <c r="V16" i="2" a="1"/>
  <c r="V16" i="2"/>
  <c r="V23" i="2" s="1"/>
  <c r="W16" i="2" a="1"/>
  <c r="W16" i="2"/>
  <c r="W23" i="2" s="1"/>
  <c r="X16" i="2" a="1"/>
  <c r="X16" i="2" s="1"/>
  <c r="X23" i="2" s="1"/>
  <c r="Y16" i="2" a="1"/>
  <c r="Y16" i="2"/>
  <c r="Z16" i="2" a="1"/>
  <c r="Z16" i="2"/>
  <c r="AA16" i="2" a="1"/>
  <c r="AA16" i="2"/>
  <c r="AB16" i="2" a="1"/>
  <c r="AB16" i="2"/>
  <c r="AB23" i="2" s="1"/>
  <c r="AC16" i="2" a="1"/>
  <c r="AC16" i="2"/>
  <c r="AD16" i="2" a="1"/>
  <c r="AD16" i="2" s="1"/>
  <c r="AD23" i="2" s="1"/>
  <c r="AE16" i="2" a="1"/>
  <c r="AE16" i="2"/>
  <c r="AF16" i="2" a="1"/>
  <c r="AF16" i="2"/>
  <c r="AG16" i="2" a="1"/>
  <c r="AG16" i="2"/>
  <c r="D17" i="2" a="1"/>
  <c r="D17" i="2"/>
  <c r="E17" i="2" a="1"/>
  <c r="E17" i="2"/>
  <c r="F17" i="2" a="1"/>
  <c r="F17" i="2" s="1"/>
  <c r="G17" i="2" a="1"/>
  <c r="G17" i="2"/>
  <c r="H17" i="2" a="1"/>
  <c r="H17" i="2"/>
  <c r="I17" i="2" a="1"/>
  <c r="I17" i="2"/>
  <c r="J17" i="2" a="1"/>
  <c r="J17" i="2" s="1"/>
  <c r="K17" i="2" a="1"/>
  <c r="K17" i="2"/>
  <c r="L17" i="2" a="1"/>
  <c r="L17" i="2" s="1"/>
  <c r="M17" i="2" a="1"/>
  <c r="M17" i="2" s="1"/>
  <c r="N17" i="2" a="1"/>
  <c r="N17" i="2"/>
  <c r="O17" i="2" a="1"/>
  <c r="O17" i="2"/>
  <c r="P17" i="2" a="1"/>
  <c r="P17" i="2" s="1"/>
  <c r="Q17" i="2" a="1"/>
  <c r="Q17" i="2"/>
  <c r="R17" i="2" a="1"/>
  <c r="R17" i="2"/>
  <c r="S17" i="2" a="1"/>
  <c r="S17" i="2" s="1"/>
  <c r="T17" i="2" a="1"/>
  <c r="T17" i="2"/>
  <c r="U17" i="2" a="1"/>
  <c r="U17" i="2"/>
  <c r="V17" i="2" a="1"/>
  <c r="V17" i="2" s="1"/>
  <c r="W17" i="2" a="1"/>
  <c r="W17" i="2"/>
  <c r="X17" i="2" a="1"/>
  <c r="X17" i="2"/>
  <c r="Y17" i="2" a="1"/>
  <c r="Y17" i="2" s="1"/>
  <c r="Z17" i="2" a="1"/>
  <c r="Z17" i="2" s="1"/>
  <c r="Z23" i="2" s="1"/>
  <c r="AA17" i="2" a="1"/>
  <c r="AA17" i="2"/>
  <c r="AB17" i="2" a="1"/>
  <c r="AB17" i="2" s="1"/>
  <c r="AC17" i="2" a="1"/>
  <c r="AC17" i="2"/>
  <c r="AD17" i="2" a="1"/>
  <c r="AD17" i="2"/>
  <c r="AE17" i="2" a="1"/>
  <c r="AE17" i="2"/>
  <c r="AF17" i="2" a="1"/>
  <c r="AF17" i="2" s="1"/>
  <c r="AF23" i="2" s="1"/>
  <c r="AG17" i="2" a="1"/>
  <c r="AG17" i="2"/>
  <c r="D18" i="2" a="1"/>
  <c r="D18" i="2" s="1"/>
  <c r="E18" i="2" a="1"/>
  <c r="E18" i="2"/>
  <c r="F18" i="2" a="1"/>
  <c r="F18" i="2"/>
  <c r="G18" i="2" a="1"/>
  <c r="G18" i="2"/>
  <c r="G23" i="2" s="1"/>
  <c r="H18" i="2" a="1"/>
  <c r="H18" i="2" s="1"/>
  <c r="I18" i="2" a="1"/>
  <c r="I18" i="2" s="1"/>
  <c r="J18" i="2" a="1"/>
  <c r="J18" i="2" s="1"/>
  <c r="K18" i="2" a="1"/>
  <c r="K18" i="2"/>
  <c r="L18" i="2" a="1"/>
  <c r="L18" i="2"/>
  <c r="M18" i="2" a="1"/>
  <c r="M18" i="2"/>
  <c r="N18" i="2" a="1"/>
  <c r="N18" i="2"/>
  <c r="O18" i="2" a="1"/>
  <c r="O18" i="2" s="1"/>
  <c r="P18" i="2" a="1"/>
  <c r="P18" i="2" s="1"/>
  <c r="Q18" i="2" a="1"/>
  <c r="Q18" i="2"/>
  <c r="R18" i="2" a="1"/>
  <c r="R18" i="2"/>
  <c r="S18" i="2" a="1"/>
  <c r="S18" i="2"/>
  <c r="T18" i="2" a="1"/>
  <c r="T18" i="2"/>
  <c r="U18" i="2" a="1"/>
  <c r="U18" i="2" s="1"/>
  <c r="V18" i="2" a="1"/>
  <c r="V18" i="2" s="1"/>
  <c r="W18" i="2" a="1"/>
  <c r="W18" i="2"/>
  <c r="X18" i="2" a="1"/>
  <c r="X18" i="2"/>
  <c r="Y18" i="2" a="1"/>
  <c r="Y18" i="2"/>
  <c r="Z18" i="2" a="1"/>
  <c r="Z18" i="2"/>
  <c r="AA18" i="2" a="1"/>
  <c r="AA18" i="2"/>
  <c r="AB18" i="2" a="1"/>
  <c r="AB18" i="2" s="1"/>
  <c r="AC18" i="2" a="1"/>
  <c r="AC18" i="2" s="1"/>
  <c r="AD18" i="2" a="1"/>
  <c r="AD18" i="2"/>
  <c r="AE18" i="2" a="1"/>
  <c r="AE18" i="2"/>
  <c r="AF18" i="2" a="1"/>
  <c r="AF18" i="2"/>
  <c r="AG18" i="2" a="1"/>
  <c r="AG18" i="2"/>
  <c r="D19" i="2" a="1"/>
  <c r="D19" i="2" s="1"/>
  <c r="E19" i="2" a="1"/>
  <c r="E19" i="2" s="1"/>
  <c r="F19" i="2" a="1"/>
  <c r="F19" i="2"/>
  <c r="G19" i="2" a="1"/>
  <c r="G19" i="2"/>
  <c r="H19" i="2" a="1"/>
  <c r="H19" i="2"/>
  <c r="I19" i="2" a="1"/>
  <c r="I19" i="2"/>
  <c r="J19" i="2" a="1"/>
  <c r="J19" i="2" s="1"/>
  <c r="K19" i="2" a="1"/>
  <c r="K19" i="2" s="1"/>
  <c r="L19" i="2" a="1"/>
  <c r="L19" i="2" s="1"/>
  <c r="M19" i="2" a="1"/>
  <c r="M19" i="2"/>
  <c r="N19" i="2" a="1"/>
  <c r="N19" i="2"/>
  <c r="O19" i="2" a="1"/>
  <c r="O19" i="2"/>
  <c r="P19" i="2" a="1"/>
  <c r="P19" i="2" s="1"/>
  <c r="Q19" i="2" a="1"/>
  <c r="Q19" i="2"/>
  <c r="R19" i="2" a="1"/>
  <c r="R19" i="2" s="1"/>
  <c r="S19" i="2" a="1"/>
  <c r="S19" i="2"/>
  <c r="T19" i="2" a="1"/>
  <c r="T19" i="2"/>
  <c r="U19" i="2" a="1"/>
  <c r="U19" i="2"/>
  <c r="V19" i="2" a="1"/>
  <c r="V19" i="2" s="1"/>
  <c r="W19" i="2" a="1"/>
  <c r="W19" i="2"/>
  <c r="X19" i="2" a="1"/>
  <c r="X19" i="2" s="1"/>
  <c r="Y19" i="2" a="1"/>
  <c r="Y19" i="2" s="1"/>
  <c r="Z19" i="2" a="1"/>
  <c r="Z19" i="2"/>
  <c r="AA19" i="2" a="1"/>
  <c r="AA19" i="2"/>
  <c r="AB19" i="2" a="1"/>
  <c r="AB19" i="2" s="1"/>
  <c r="AC19" i="2" a="1"/>
  <c r="AC19" i="2"/>
  <c r="AD19" i="2" a="1"/>
  <c r="AD19" i="2"/>
  <c r="AE19" i="2" a="1"/>
  <c r="AE19" i="2" s="1"/>
  <c r="AF19" i="2" a="1"/>
  <c r="AF19" i="2"/>
  <c r="AG19" i="2" a="1"/>
  <c r="AG19" i="2"/>
  <c r="D20" i="2" a="1"/>
  <c r="D20" i="2" s="1"/>
  <c r="E20" i="2" a="1"/>
  <c r="E20" i="2"/>
  <c r="F20" i="2" a="1"/>
  <c r="F20" i="2"/>
  <c r="G20" i="2" a="1"/>
  <c r="G20" i="2" s="1"/>
  <c r="H20" i="2" a="1"/>
  <c r="H20" i="2" s="1"/>
  <c r="I20" i="2" a="1"/>
  <c r="I20" i="2"/>
  <c r="J20" i="2" a="1"/>
  <c r="J20" i="2" s="1"/>
  <c r="K20" i="2" a="1"/>
  <c r="K20" i="2"/>
  <c r="L20" i="2" a="1"/>
  <c r="L20" i="2"/>
  <c r="M20" i="2" a="1"/>
  <c r="M20" i="2"/>
  <c r="N20" i="2" a="1"/>
  <c r="N20" i="2" s="1"/>
  <c r="O20" i="2" a="1"/>
  <c r="O20" i="2"/>
  <c r="P20" i="2" a="1"/>
  <c r="P20" i="2" s="1"/>
  <c r="Q20" i="2" a="1"/>
  <c r="Q20" i="2"/>
  <c r="R20" i="2" a="1"/>
  <c r="R20" i="2"/>
  <c r="S20" i="2" a="1"/>
  <c r="S20" i="2"/>
  <c r="T20" i="2" a="1"/>
  <c r="T20" i="2" s="1"/>
  <c r="U20" i="2" a="1"/>
  <c r="U20" i="2" s="1"/>
  <c r="V20" i="2" a="1"/>
  <c r="V20" i="2" s="1"/>
  <c r="W20" i="2" a="1"/>
  <c r="W20" i="2"/>
  <c r="X20" i="2" a="1"/>
  <c r="X20" i="2"/>
  <c r="Y20" i="2" a="1"/>
  <c r="Y20" i="2"/>
  <c r="Z20" i="2" a="1"/>
  <c r="Z20" i="2"/>
  <c r="AA20" i="2" a="1"/>
  <c r="AA20" i="2" s="1"/>
  <c r="AB20" i="2" a="1"/>
  <c r="AB20" i="2" s="1"/>
  <c r="AC20" i="2" a="1"/>
  <c r="AC20" i="2"/>
  <c r="AD20" i="2" a="1"/>
  <c r="AD20" i="2"/>
  <c r="AE20" i="2" a="1"/>
  <c r="AE20" i="2"/>
  <c r="AF20" i="2" a="1"/>
  <c r="AF20" i="2"/>
  <c r="AG20" i="2" a="1"/>
  <c r="AG20" i="2" s="1"/>
  <c r="D21" i="2" a="1"/>
  <c r="D21" i="2" s="1"/>
  <c r="E21" i="2" a="1"/>
  <c r="E21" i="2"/>
  <c r="F21" i="2" a="1"/>
  <c r="F21" i="2"/>
  <c r="G21" i="2" a="1"/>
  <c r="G21" i="2"/>
  <c r="H21" i="2" a="1"/>
  <c r="H21" i="2"/>
  <c r="I21" i="2" a="1"/>
  <c r="I21" i="2"/>
  <c r="J21" i="2" a="1"/>
  <c r="J21" i="2" s="1"/>
  <c r="K21" i="2" a="1"/>
  <c r="K21" i="2" s="1"/>
  <c r="L21" i="2" a="1"/>
  <c r="L21" i="2"/>
  <c r="M21" i="2" a="1"/>
  <c r="M21" i="2"/>
  <c r="N21" i="2" a="1"/>
  <c r="N21" i="2"/>
  <c r="O21" i="2" a="1"/>
  <c r="O21" i="2"/>
  <c r="P21" i="2" a="1"/>
  <c r="P21" i="2" s="1"/>
  <c r="Q21" i="2" a="1"/>
  <c r="Q21" i="2" s="1"/>
  <c r="R21" i="2" a="1"/>
  <c r="R21" i="2"/>
  <c r="S21" i="2" a="1"/>
  <c r="S21" i="2"/>
  <c r="T21" i="2" a="1"/>
  <c r="T21" i="2"/>
  <c r="U21" i="2" a="1"/>
  <c r="U21" i="2"/>
  <c r="V21" i="2" a="1"/>
  <c r="V21" i="2" s="1"/>
  <c r="W21" i="2" a="1"/>
  <c r="W21" i="2" s="1"/>
  <c r="X21" i="2" a="1"/>
  <c r="X21" i="2" s="1"/>
  <c r="Y21" i="2" a="1"/>
  <c r="Y21" i="2"/>
  <c r="Z21" i="2" a="1"/>
  <c r="Z21" i="2"/>
  <c r="AA21" i="2" a="1"/>
  <c r="AA21" i="2"/>
  <c r="AB21" i="2" a="1"/>
  <c r="AB21" i="2" s="1"/>
  <c r="AC21" i="2" a="1"/>
  <c r="AC21" i="2"/>
  <c r="AD21" i="2" a="1"/>
  <c r="AD21" i="2" s="1"/>
  <c r="AE21" i="2" a="1"/>
  <c r="AE21" i="2"/>
  <c r="AF21" i="2" a="1"/>
  <c r="AF21" i="2"/>
  <c r="AG21" i="2" a="1"/>
  <c r="AG21" i="2"/>
  <c r="D22" i="2" a="1"/>
  <c r="D22" i="2" s="1"/>
  <c r="E22" i="2" a="1"/>
  <c r="E22" i="2"/>
  <c r="F22" i="2" a="1"/>
  <c r="F22" i="2" s="1"/>
  <c r="G22" i="2" a="1"/>
  <c r="G22" i="2" s="1"/>
  <c r="H22" i="2" a="1"/>
  <c r="H22" i="2"/>
  <c r="I22" i="2" a="1"/>
  <c r="I22" i="2"/>
  <c r="J22" i="2" a="1"/>
  <c r="J22" i="2" s="1"/>
  <c r="K22" i="2" a="1"/>
  <c r="K22" i="2"/>
  <c r="L22" i="2" a="1"/>
  <c r="L22" i="2"/>
  <c r="M22" i="2" a="1"/>
  <c r="M22" i="2" s="1"/>
  <c r="N22" i="2" a="1"/>
  <c r="N22" i="2"/>
  <c r="O22" i="2" a="1"/>
  <c r="O22" i="2"/>
  <c r="P22" i="2" a="1"/>
  <c r="P22" i="2" s="1"/>
  <c r="Q22" i="2" a="1"/>
  <c r="Q22" i="2"/>
  <c r="R22" i="2" a="1"/>
  <c r="R22" i="2"/>
  <c r="S22" i="2" a="1"/>
  <c r="S22" i="2" s="1"/>
  <c r="T22" i="2" a="1"/>
  <c r="T22" i="2" s="1"/>
  <c r="U22" i="2" a="1"/>
  <c r="U22" i="2"/>
  <c r="V22" i="2" a="1"/>
  <c r="V22" i="2" s="1"/>
  <c r="W22" i="2" a="1"/>
  <c r="W22" i="2"/>
  <c r="X22" i="2" a="1"/>
  <c r="X22" i="2"/>
  <c r="Y22" i="2" a="1"/>
  <c r="Y22" i="2" s="1"/>
  <c r="Z22" i="2" a="1"/>
  <c r="Z22" i="2" s="1"/>
  <c r="AA22" i="2" a="1"/>
  <c r="AA22" i="2" s="1"/>
  <c r="AB22" i="2" a="1"/>
  <c r="AB22" i="2" s="1"/>
  <c r="AC22" i="2" a="1"/>
  <c r="AC22" i="2" s="1"/>
  <c r="AD22" i="2" a="1"/>
  <c r="AD22" i="2"/>
  <c r="AE22" i="2" a="1"/>
  <c r="AE22" i="2"/>
  <c r="AF22" i="2" a="1"/>
  <c r="AF22" i="2"/>
  <c r="AG22" i="2" a="1"/>
  <c r="AG22" i="2"/>
  <c r="C17" i="2" a="1"/>
  <c r="C17" i="2" s="1"/>
  <c r="C18" i="2" a="1"/>
  <c r="C18" i="2" s="1"/>
  <c r="C19" i="2" a="1"/>
  <c r="C19" i="2" s="1"/>
  <c r="C20" i="2" a="1"/>
  <c r="C20" i="2"/>
  <c r="C21" i="2" a="1"/>
  <c r="C21" i="2" s="1"/>
  <c r="C22" i="2" a="1"/>
  <c r="C22" i="2" s="1"/>
  <c r="C16" i="2" a="1"/>
  <c r="C16" i="2" s="1"/>
  <c r="B14" i="2"/>
  <c r="B2" i="2"/>
  <c r="D5" i="2" a="1"/>
  <c r="D5" i="2" s="1"/>
  <c r="E5" i="2" a="1"/>
  <c r="E5" i="2" s="1"/>
  <c r="F5" i="2" a="1"/>
  <c r="F5" i="2" s="1"/>
  <c r="G5" i="2" a="1"/>
  <c r="G5" i="2" s="1"/>
  <c r="D6" i="2" a="1"/>
  <c r="D6" i="2" s="1"/>
  <c r="E6" i="2" a="1"/>
  <c r="E6" i="2" s="1"/>
  <c r="F6" i="2" a="1"/>
  <c r="F6" i="2" s="1"/>
  <c r="G6" i="2" a="1"/>
  <c r="G6" i="2" s="1"/>
  <c r="D7" i="2" a="1"/>
  <c r="D7" i="2" s="1"/>
  <c r="E7" i="2" a="1"/>
  <c r="E7" i="2" s="1"/>
  <c r="F7" i="2" a="1"/>
  <c r="F7" i="2" s="1"/>
  <c r="G7" i="2" a="1"/>
  <c r="G7" i="2" s="1"/>
  <c r="D8" i="2" a="1"/>
  <c r="D8" i="2" s="1"/>
  <c r="E8" i="2" a="1"/>
  <c r="E8" i="2" s="1"/>
  <c r="F8" i="2" a="1"/>
  <c r="F8" i="2" s="1"/>
  <c r="G8" i="2" a="1"/>
  <c r="G8" i="2" s="1"/>
  <c r="D9" i="2" a="1"/>
  <c r="D9" i="2" s="1"/>
  <c r="E9" i="2" a="1"/>
  <c r="E9" i="2" s="1"/>
  <c r="F9" i="2" a="1"/>
  <c r="F9" i="2" s="1"/>
  <c r="G9" i="2" a="1"/>
  <c r="G9" i="2" s="1"/>
  <c r="D10" i="2" a="1"/>
  <c r="D10" i="2" s="1"/>
  <c r="E10" i="2" a="1"/>
  <c r="E10" i="2" s="1"/>
  <c r="F10" i="2" a="1"/>
  <c r="F10" i="2" s="1"/>
  <c r="G10" i="2" a="1"/>
  <c r="G10" i="2" s="1"/>
  <c r="G4" i="2" a="1"/>
  <c r="G4" i="2" s="1"/>
  <c r="F4" i="2" a="1"/>
  <c r="F4" i="2" s="1"/>
  <c r="E4" i="2" a="1"/>
  <c r="E4" i="2" s="1"/>
  <c r="D4" i="2" a="1"/>
  <c r="D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4" i="2" a="1"/>
  <c r="C4" i="2" s="1"/>
  <c r="E11" i="2" l="1"/>
  <c r="D11" i="2"/>
  <c r="F11" i="2"/>
  <c r="G11" i="2"/>
  <c r="C11" i="2"/>
  <c r="Q33" i="2"/>
  <c r="I33" i="2"/>
  <c r="M23" i="2"/>
  <c r="G33" i="2"/>
  <c r="S23" i="2"/>
  <c r="AG23" i="2"/>
  <c r="C23" i="2"/>
  <c r="AA33" i="2"/>
  <c r="E33" i="2"/>
  <c r="X33" i="2"/>
  <c r="T23" i="2"/>
  <c r="AE33" i="2"/>
  <c r="O23" i="2"/>
  <c r="U23" i="2"/>
  <c r="N33" i="2"/>
  <c r="Y23" i="2"/>
  <c r="AE23" i="2"/>
  <c r="F23" i="2"/>
  <c r="AG33" i="2"/>
  <c r="Z33" i="2"/>
  <c r="N23" i="2"/>
  <c r="W33" i="2"/>
  <c r="AC23" i="2"/>
  <c r="AD33" i="2"/>
  <c r="AA23" i="2"/>
  <c r="M33" i="2"/>
  <c r="T33" i="2"/>
  <c r="H23" i="2"/>
  <c r="L23" i="2"/>
  <c r="E23" i="2"/>
  <c r="K33" i="2"/>
  <c r="H4" i="2"/>
  <c r="H5" i="2" l="1"/>
  <c r="H6" i="2" l="1"/>
  <c r="H7" i="2" l="1"/>
  <c r="H8" i="2" l="1"/>
  <c r="H9" i="2" l="1"/>
  <c r="H10" i="2"/>
  <c r="H11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<sst xmlns="http://schemas.openxmlformats.org/spreadsheetml/2006/main" count="34" uniqueCount="18">
  <si>
    <t>Zona 1</t>
  </si>
  <si>
    <t>Zona 3</t>
  </si>
  <si>
    <t>Zona 4</t>
  </si>
  <si>
    <t>Zona 5</t>
  </si>
  <si>
    <t>Zona 6</t>
  </si>
  <si>
    <t>Zona 2</t>
  </si>
  <si>
    <t>Tanggal</t>
  </si>
  <si>
    <t>Input Penjualan Per Zona</t>
  </si>
  <si>
    <t>Mitra 10</t>
  </si>
  <si>
    <t>Front</t>
  </si>
  <si>
    <t>Total</t>
  </si>
  <si>
    <t>FRONT</t>
  </si>
  <si>
    <t>Area</t>
  </si>
  <si>
    <t>Resume per Zona Per item</t>
  </si>
  <si>
    <t>Resume per Zona Per Tanggal</t>
  </si>
  <si>
    <t>Resume per Item Per Tanggal</t>
  </si>
  <si>
    <t>QTY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</si>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</sst>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;;;&quot;Zona 1&quot;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haroni"/>
      <charset val="177"/>
    </font>
    <font>
      <b/>
      <sz val="24"/>
      <color theme="1"/>
      <name val="Aharoni"/>
      <charset val="177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DLaM Display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3" borderId="1" xfId="0" applyFont="1" applyFill="1" applyBorder="1" applyAlignment="1">
      <alignment horizontal="centerContinuous"/>
    </xf>
    <xf numFmtId="0" fontId="0" fillId="4" borderId="1" xfId="0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6" borderId="1" xfId="0" applyFill="1" applyBorder="1" applyAlignment="1">
      <alignment horizontal="centerContinuous"/>
    </xf>
    <xf numFmtId="0" fontId="0" fillId="7" borderId="1" xfId="0" applyFill="1" applyBorder="1" applyAlignment="1">
      <alignment horizontal="centerContinuous"/>
    </xf>
    <xf numFmtId="0" fontId="0" fillId="8" borderId="1" xfId="0" applyFill="1" applyBorder="1" applyAlignment="1">
      <alignment horizontal="centerContinuous"/>
    </xf>
    <xf numFmtId="164" fontId="3" fillId="9" borderId="1" xfId="1" applyNumberFormat="1" applyFont="1" applyFill="1" applyBorder="1"/>
    <xf numFmtId="14" fontId="4" fillId="0" borderId="1" xfId="0" applyNumberFormat="1" applyFont="1" applyBorder="1"/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1" fontId="4" fillId="0" borderId="1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2" borderId="1" xfId="0" applyNumberFormat="1" applyFont="1" applyFill="1" applyBorder="1" applyAlignment="1">
      <alignment horizontal="centerContinuous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" fontId="9" fillId="10" borderId="1" xfId="0" applyNumberFormat="1" applyFont="1" applyFill="1" applyBorder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1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4" fontId="12" fillId="2" borderId="1" xfId="0" applyNumberFormat="1" applyFont="1" applyFill="1" applyBorder="1"/>
    <xf numFmtId="0" fontId="13" fillId="0" borderId="0" xfId="0" applyFont="1"/>
    <xf numFmtId="0" fontId="4" fillId="0" borderId="0" xfId="0" applyFont="1" applyAlignment="1">
      <alignment horizontal="center"/>
    </xf>
    <xf numFmtId="0" fontId="12" fillId="10" borderId="0" xfId="0" applyFont="1" applyFill="1" applyAlignment="1">
      <alignment horizontal="center"/>
    </xf>
    <xf numFmtId="164" fontId="3" fillId="0" borderId="1" xfId="1" applyNumberFormat="1" applyFont="1" applyFill="1" applyBorder="1"/>
    <xf numFmtId="0" fontId="2" fillId="10" borderId="0" xfId="0" applyFont="1" applyFill="1"/>
    <xf numFmtId="0" fontId="3" fillId="10" borderId="0" xfId="0" applyFont="1" applyFill="1"/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7" fillId="0" borderId="0" xfId="0" applyNumberFormat="1" applyFont="1" applyFill="1" applyBorder="1"/>
    <xf numFmtId="0" fontId="0" fillId="0" borderId="0" xfId="0" applyBorder="1"/>
    <xf numFmtId="164" fontId="9" fillId="1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9376-8845-4813-9937-BC5AC65F7DB3}">
  <sheetPr>
    <tabColor rgb="FFFFFF00"/>
  </sheetPr>
  <dimension ref="A1:AJ36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5" x14ac:dyDescent="0.35"/>
  <cols>
    <col min="1" max="1" width="9.08984375" bestFit="1" customWidth="1"/>
    <col min="2" max="2" width="3.54296875" customWidth="1"/>
    <col min="3" max="3" width="3.54296875" bestFit="1" customWidth="1"/>
    <col min="4" max="6" width="4.36328125" bestFit="1" customWidth="1"/>
    <col min="7" max="8" width="3.54296875" bestFit="1" customWidth="1"/>
    <col min="9" max="11" width="4.36328125" bestFit="1" customWidth="1"/>
    <col min="12" max="13" width="3.54296875" bestFit="1" customWidth="1"/>
    <col min="14" max="16" width="4.36328125" bestFit="1" customWidth="1"/>
    <col min="17" max="18" width="3.54296875" bestFit="1" customWidth="1"/>
    <col min="19" max="21" width="4.36328125" bestFit="1" customWidth="1"/>
    <col min="22" max="23" width="3.54296875" bestFit="1" customWidth="1"/>
    <col min="24" max="26" width="4.36328125" bestFit="1" customWidth="1"/>
    <col min="27" max="28" width="3.54296875" bestFit="1" customWidth="1"/>
    <col min="29" max="31" width="4.36328125" bestFit="1" customWidth="1"/>
    <col min="32" max="33" width="3.54296875" bestFit="1" customWidth="1"/>
    <col min="34" max="36" width="4.36328125" bestFit="1" customWidth="1"/>
  </cols>
  <sheetData>
    <row r="1" spans="1:36" ht="30.5" x14ac:dyDescent="0.65">
      <c r="A1" s="10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ht="16.5" customHeight="1" x14ac:dyDescent="0.65">
      <c r="A2" s="10"/>
      <c r="B2" s="9" t="s">
        <v>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35">
      <c r="A3" s="13" t="s">
        <v>6</v>
      </c>
      <c r="B3" s="14" t="s">
        <v>0</v>
      </c>
      <c r="C3" s="14"/>
      <c r="D3" s="14"/>
      <c r="E3" s="14"/>
      <c r="F3" s="14"/>
      <c r="G3" s="1" t="s">
        <v>5</v>
      </c>
      <c r="H3" s="1"/>
      <c r="I3" s="1"/>
      <c r="J3" s="1"/>
      <c r="K3" s="1"/>
      <c r="L3" s="2" t="s">
        <v>1</v>
      </c>
      <c r="M3" s="2"/>
      <c r="N3" s="2"/>
      <c r="O3" s="2"/>
      <c r="P3" s="2"/>
      <c r="Q3" s="3" t="s">
        <v>2</v>
      </c>
      <c r="R3" s="3"/>
      <c r="S3" s="3"/>
      <c r="T3" s="3"/>
      <c r="U3" s="3"/>
      <c r="V3" s="4" t="s">
        <v>3</v>
      </c>
      <c r="W3" s="4"/>
      <c r="X3" s="4"/>
      <c r="Y3" s="4"/>
      <c r="Z3" s="4"/>
      <c r="AA3" s="5" t="s">
        <v>4</v>
      </c>
      <c r="AB3" s="5"/>
      <c r="AC3" s="5"/>
      <c r="AD3" s="5"/>
      <c r="AE3" s="5"/>
      <c r="AF3" s="6" t="s">
        <v>11</v>
      </c>
      <c r="AG3" s="6"/>
      <c r="AH3" s="6"/>
      <c r="AI3" s="6"/>
      <c r="AJ3" s="6"/>
    </row>
    <row r="4" spans="1:36" x14ac:dyDescent="0.35">
      <c r="A4" s="13"/>
      <c r="B4" s="7">
        <v>50</v>
      </c>
      <c r="C4" s="7">
        <v>70</v>
      </c>
      <c r="D4" s="7">
        <v>100</v>
      </c>
      <c r="E4" s="7">
        <v>125</v>
      </c>
      <c r="F4" s="7">
        <v>165</v>
      </c>
      <c r="G4" s="7">
        <v>50</v>
      </c>
      <c r="H4" s="7">
        <v>70</v>
      </c>
      <c r="I4" s="7">
        <v>100</v>
      </c>
      <c r="J4" s="7">
        <v>125</v>
      </c>
      <c r="K4" s="7">
        <v>165</v>
      </c>
      <c r="L4" s="7">
        <v>50</v>
      </c>
      <c r="M4" s="7">
        <v>70</v>
      </c>
      <c r="N4" s="7">
        <v>100</v>
      </c>
      <c r="O4" s="7">
        <v>125</v>
      </c>
      <c r="P4" s="7">
        <v>165</v>
      </c>
      <c r="Q4" s="7">
        <v>50</v>
      </c>
      <c r="R4" s="7">
        <v>70</v>
      </c>
      <c r="S4" s="7">
        <v>100</v>
      </c>
      <c r="T4" s="7">
        <v>125</v>
      </c>
      <c r="U4" s="7">
        <v>165</v>
      </c>
      <c r="V4" s="7">
        <v>50</v>
      </c>
      <c r="W4" s="7">
        <v>70</v>
      </c>
      <c r="X4" s="7">
        <v>100</v>
      </c>
      <c r="Y4" s="7">
        <v>125</v>
      </c>
      <c r="Z4" s="7">
        <v>165</v>
      </c>
      <c r="AA4" s="7">
        <v>50</v>
      </c>
      <c r="AB4" s="7">
        <v>70</v>
      </c>
      <c r="AC4" s="7">
        <v>100</v>
      </c>
      <c r="AD4" s="7">
        <v>125</v>
      </c>
      <c r="AE4" s="7">
        <v>165</v>
      </c>
      <c r="AF4" s="7">
        <v>50</v>
      </c>
      <c r="AG4" s="7">
        <v>70</v>
      </c>
      <c r="AH4" s="7">
        <v>100</v>
      </c>
      <c r="AI4" s="7">
        <v>125</v>
      </c>
      <c r="AJ4" s="7">
        <v>165</v>
      </c>
    </row>
    <row r="5" spans="1:36" x14ac:dyDescent="0.35">
      <c r="A5" s="8">
        <v>46266</v>
      </c>
      <c r="B5" s="11">
        <v>6</v>
      </c>
      <c r="C5" s="11">
        <v>7</v>
      </c>
      <c r="D5" s="11">
        <v>4</v>
      </c>
      <c r="E5" s="11">
        <v>6</v>
      </c>
      <c r="F5" s="11">
        <v>0</v>
      </c>
      <c r="G5" s="11">
        <v>5</v>
      </c>
      <c r="H5" s="11">
        <v>7</v>
      </c>
      <c r="I5" s="11">
        <v>1</v>
      </c>
      <c r="J5" s="11">
        <v>6</v>
      </c>
      <c r="K5" s="11">
        <v>6</v>
      </c>
      <c r="L5" s="11">
        <v>6</v>
      </c>
      <c r="M5" s="11">
        <v>1</v>
      </c>
      <c r="N5" s="11">
        <v>7</v>
      </c>
      <c r="O5" s="11">
        <v>0</v>
      </c>
      <c r="P5" s="11">
        <v>2</v>
      </c>
      <c r="Q5" s="11">
        <v>6</v>
      </c>
      <c r="R5" s="11">
        <v>4</v>
      </c>
      <c r="S5" s="11">
        <v>5</v>
      </c>
      <c r="T5" s="11">
        <v>7</v>
      </c>
      <c r="U5" s="11">
        <v>2</v>
      </c>
      <c r="V5" s="11">
        <v>5</v>
      </c>
      <c r="W5" s="11">
        <v>6</v>
      </c>
      <c r="X5" s="11">
        <v>1</v>
      </c>
      <c r="Y5" s="11">
        <v>0</v>
      </c>
      <c r="Z5" s="11">
        <v>4</v>
      </c>
      <c r="AA5" s="11">
        <v>1</v>
      </c>
      <c r="AB5" s="11">
        <v>6</v>
      </c>
      <c r="AC5" s="11">
        <v>6</v>
      </c>
      <c r="AD5" s="11">
        <v>0</v>
      </c>
      <c r="AE5" s="11">
        <v>4</v>
      </c>
      <c r="AF5" s="11">
        <v>7</v>
      </c>
      <c r="AG5" s="11">
        <v>4</v>
      </c>
      <c r="AH5" s="11">
        <v>4</v>
      </c>
      <c r="AI5" s="11">
        <v>7</v>
      </c>
      <c r="AJ5" s="11">
        <v>1</v>
      </c>
    </row>
    <row r="6" spans="1:36" x14ac:dyDescent="0.35">
      <c r="A6" s="8">
        <v>46267</v>
      </c>
      <c r="B6" s="11">
        <v>2</v>
      </c>
      <c r="C6" s="11">
        <v>5</v>
      </c>
      <c r="D6" s="11">
        <v>2</v>
      </c>
      <c r="E6" s="11">
        <v>6</v>
      </c>
      <c r="F6" s="11">
        <v>3</v>
      </c>
      <c r="G6" s="11">
        <v>5</v>
      </c>
      <c r="H6" s="11">
        <v>4</v>
      </c>
      <c r="I6" s="11">
        <v>6</v>
      </c>
      <c r="J6" s="11">
        <v>0</v>
      </c>
      <c r="K6" s="11">
        <v>6</v>
      </c>
      <c r="L6" s="11">
        <v>0</v>
      </c>
      <c r="M6" s="11">
        <v>1</v>
      </c>
      <c r="N6" s="11">
        <v>7</v>
      </c>
      <c r="O6" s="11">
        <v>6</v>
      </c>
      <c r="P6" s="11">
        <v>1</v>
      </c>
      <c r="Q6" s="11">
        <v>7</v>
      </c>
      <c r="R6" s="11">
        <v>7</v>
      </c>
      <c r="S6" s="11">
        <v>6</v>
      </c>
      <c r="T6" s="11">
        <v>2</v>
      </c>
      <c r="U6" s="11">
        <v>3</v>
      </c>
      <c r="V6" s="11">
        <v>4</v>
      </c>
      <c r="W6" s="11">
        <v>3</v>
      </c>
      <c r="X6" s="11">
        <v>2</v>
      </c>
      <c r="Y6" s="11">
        <v>7</v>
      </c>
      <c r="Z6" s="11">
        <v>4</v>
      </c>
      <c r="AA6" s="11">
        <v>3</v>
      </c>
      <c r="AB6" s="11">
        <v>7</v>
      </c>
      <c r="AC6" s="11">
        <v>6</v>
      </c>
      <c r="AD6" s="11">
        <v>7</v>
      </c>
      <c r="AE6" s="11">
        <v>0</v>
      </c>
      <c r="AF6" s="11">
        <v>0</v>
      </c>
      <c r="AG6" s="11">
        <v>3</v>
      </c>
      <c r="AH6" s="11">
        <v>4</v>
      </c>
      <c r="AI6" s="11">
        <v>3</v>
      </c>
      <c r="AJ6" s="11">
        <v>2</v>
      </c>
    </row>
    <row r="7" spans="1:36" x14ac:dyDescent="0.35">
      <c r="A7" s="8">
        <v>46268</v>
      </c>
      <c r="B7" s="11">
        <v>3</v>
      </c>
      <c r="C7" s="11">
        <v>0</v>
      </c>
      <c r="D7" s="11">
        <v>6</v>
      </c>
      <c r="E7" s="11">
        <v>4</v>
      </c>
      <c r="F7" s="11">
        <v>6</v>
      </c>
      <c r="G7" s="11">
        <v>1</v>
      </c>
      <c r="H7" s="11">
        <v>6</v>
      </c>
      <c r="I7" s="11">
        <v>0</v>
      </c>
      <c r="J7" s="11">
        <v>5</v>
      </c>
      <c r="K7" s="11">
        <v>1</v>
      </c>
      <c r="L7" s="11">
        <v>4</v>
      </c>
      <c r="M7" s="11">
        <v>1</v>
      </c>
      <c r="N7" s="11">
        <v>0</v>
      </c>
      <c r="O7" s="11">
        <v>7</v>
      </c>
      <c r="P7" s="11">
        <v>3</v>
      </c>
      <c r="Q7" s="11">
        <v>6</v>
      </c>
      <c r="R7" s="11">
        <v>2</v>
      </c>
      <c r="S7" s="11">
        <v>6</v>
      </c>
      <c r="T7" s="11">
        <v>6</v>
      </c>
      <c r="U7" s="11">
        <v>5</v>
      </c>
      <c r="V7" s="11">
        <v>5</v>
      </c>
      <c r="W7" s="11">
        <v>2</v>
      </c>
      <c r="X7" s="11">
        <v>1</v>
      </c>
      <c r="Y7" s="11">
        <v>0</v>
      </c>
      <c r="Z7" s="11">
        <v>4</v>
      </c>
      <c r="AA7" s="11">
        <v>3</v>
      </c>
      <c r="AB7" s="11">
        <v>3</v>
      </c>
      <c r="AC7" s="11">
        <v>4</v>
      </c>
      <c r="AD7" s="11">
        <v>2</v>
      </c>
      <c r="AE7" s="11">
        <v>7</v>
      </c>
      <c r="AF7" s="11">
        <v>4</v>
      </c>
      <c r="AG7" s="11">
        <v>6</v>
      </c>
      <c r="AH7" s="11">
        <v>0</v>
      </c>
      <c r="AI7" s="11">
        <v>6</v>
      </c>
      <c r="AJ7" s="11">
        <v>4</v>
      </c>
    </row>
    <row r="8" spans="1:36" x14ac:dyDescent="0.35">
      <c r="A8" s="8">
        <v>46269</v>
      </c>
      <c r="B8" s="11">
        <v>2</v>
      </c>
      <c r="C8" s="11">
        <v>5</v>
      </c>
      <c r="D8" s="11">
        <v>2</v>
      </c>
      <c r="E8" s="11">
        <v>6</v>
      </c>
      <c r="F8" s="11">
        <v>3</v>
      </c>
      <c r="G8" s="11">
        <v>5</v>
      </c>
      <c r="H8" s="11">
        <v>4</v>
      </c>
      <c r="I8" s="11">
        <v>6</v>
      </c>
      <c r="J8" s="11">
        <v>0</v>
      </c>
      <c r="K8" s="11">
        <v>6</v>
      </c>
      <c r="L8" s="11">
        <v>0</v>
      </c>
      <c r="M8" s="11">
        <v>1</v>
      </c>
      <c r="N8" s="11">
        <v>7</v>
      </c>
      <c r="O8" s="11">
        <v>6</v>
      </c>
      <c r="P8" s="11">
        <v>1</v>
      </c>
      <c r="Q8" s="11">
        <v>7</v>
      </c>
      <c r="R8" s="11">
        <v>7</v>
      </c>
      <c r="S8" s="11">
        <v>6</v>
      </c>
      <c r="T8" s="11">
        <v>2</v>
      </c>
      <c r="U8" s="11">
        <v>3</v>
      </c>
      <c r="V8" s="11">
        <v>4</v>
      </c>
      <c r="W8" s="11">
        <v>3</v>
      </c>
      <c r="X8" s="11">
        <v>2</v>
      </c>
      <c r="Y8" s="11">
        <v>7</v>
      </c>
      <c r="Z8" s="11">
        <v>4</v>
      </c>
      <c r="AA8" s="11">
        <v>3</v>
      </c>
      <c r="AB8" s="11">
        <v>7</v>
      </c>
      <c r="AC8" s="11">
        <v>6</v>
      </c>
      <c r="AD8" s="11">
        <v>7</v>
      </c>
      <c r="AE8" s="11">
        <v>0</v>
      </c>
      <c r="AF8" s="11">
        <v>0</v>
      </c>
      <c r="AG8" s="11">
        <v>3</v>
      </c>
      <c r="AH8" s="11">
        <v>4</v>
      </c>
      <c r="AI8" s="11">
        <v>3</v>
      </c>
      <c r="AJ8" s="11">
        <v>2</v>
      </c>
    </row>
    <row r="9" spans="1:36" x14ac:dyDescent="0.35">
      <c r="A9" s="8">
        <v>46270</v>
      </c>
      <c r="B9" s="11">
        <v>0</v>
      </c>
      <c r="C9" s="11">
        <v>1</v>
      </c>
      <c r="D9" s="11">
        <v>0</v>
      </c>
      <c r="E9" s="11">
        <v>2</v>
      </c>
      <c r="F9" s="11">
        <v>1</v>
      </c>
      <c r="G9" s="11">
        <v>3</v>
      </c>
      <c r="H9" s="11">
        <v>1</v>
      </c>
      <c r="I9" s="11">
        <v>4</v>
      </c>
      <c r="J9" s="11">
        <v>5</v>
      </c>
      <c r="K9" s="11">
        <v>5</v>
      </c>
      <c r="L9" s="11">
        <v>6</v>
      </c>
      <c r="M9" s="11">
        <v>4</v>
      </c>
      <c r="N9" s="11">
        <v>0</v>
      </c>
      <c r="O9" s="11">
        <v>5</v>
      </c>
      <c r="P9" s="11">
        <v>1</v>
      </c>
      <c r="Q9" s="11">
        <v>3</v>
      </c>
      <c r="R9" s="11">
        <v>6</v>
      </c>
      <c r="S9" s="11">
        <v>4</v>
      </c>
      <c r="T9" s="11">
        <v>0</v>
      </c>
      <c r="U9" s="11">
        <v>7</v>
      </c>
      <c r="V9" s="11">
        <v>1</v>
      </c>
      <c r="W9" s="11">
        <v>3</v>
      </c>
      <c r="X9" s="11">
        <v>5</v>
      </c>
      <c r="Y9" s="11">
        <v>4</v>
      </c>
      <c r="Z9" s="11">
        <v>0</v>
      </c>
      <c r="AA9" s="11">
        <v>1</v>
      </c>
      <c r="AB9" s="11">
        <v>6</v>
      </c>
      <c r="AC9" s="11">
        <v>3</v>
      </c>
      <c r="AD9" s="11">
        <v>0</v>
      </c>
      <c r="AE9" s="11">
        <v>3</v>
      </c>
      <c r="AF9" s="11">
        <v>7</v>
      </c>
      <c r="AG9" s="11">
        <v>2</v>
      </c>
      <c r="AH9" s="11">
        <v>3</v>
      </c>
      <c r="AI9" s="11">
        <v>1</v>
      </c>
      <c r="AJ9" s="11">
        <v>1</v>
      </c>
    </row>
    <row r="10" spans="1:36" x14ac:dyDescent="0.35">
      <c r="A10" s="8">
        <v>46271</v>
      </c>
      <c r="B10" s="11">
        <v>0</v>
      </c>
      <c r="C10" s="11">
        <v>5</v>
      </c>
      <c r="D10" s="11">
        <v>4</v>
      </c>
      <c r="E10" s="11">
        <v>1</v>
      </c>
      <c r="F10" s="11">
        <v>5</v>
      </c>
      <c r="G10" s="11">
        <v>0</v>
      </c>
      <c r="H10" s="11">
        <v>7</v>
      </c>
      <c r="I10" s="11">
        <v>5</v>
      </c>
      <c r="J10" s="11">
        <v>2</v>
      </c>
      <c r="K10" s="11">
        <v>7</v>
      </c>
      <c r="L10" s="11">
        <v>4</v>
      </c>
      <c r="M10" s="11">
        <v>2</v>
      </c>
      <c r="N10" s="11">
        <v>4</v>
      </c>
      <c r="O10" s="11">
        <v>7</v>
      </c>
      <c r="P10" s="11">
        <v>4</v>
      </c>
      <c r="Q10" s="11">
        <v>1</v>
      </c>
      <c r="R10" s="11">
        <v>1</v>
      </c>
      <c r="S10" s="11">
        <v>7</v>
      </c>
      <c r="T10" s="11">
        <v>4</v>
      </c>
      <c r="U10" s="11">
        <v>0</v>
      </c>
      <c r="V10" s="11">
        <v>0</v>
      </c>
      <c r="W10" s="11">
        <v>1</v>
      </c>
      <c r="X10" s="11">
        <v>1</v>
      </c>
      <c r="Y10" s="11">
        <v>2</v>
      </c>
      <c r="Z10" s="11">
        <v>3</v>
      </c>
      <c r="AA10" s="11">
        <v>7</v>
      </c>
      <c r="AB10" s="11">
        <v>5</v>
      </c>
      <c r="AC10" s="11">
        <v>5</v>
      </c>
      <c r="AD10" s="11">
        <v>3</v>
      </c>
      <c r="AE10" s="11">
        <v>0</v>
      </c>
      <c r="AF10" s="11">
        <v>5</v>
      </c>
      <c r="AG10" s="11">
        <v>0</v>
      </c>
      <c r="AH10" s="11">
        <v>4</v>
      </c>
      <c r="AI10" s="11">
        <v>7</v>
      </c>
      <c r="AJ10" s="11">
        <v>4</v>
      </c>
    </row>
    <row r="11" spans="1:36" x14ac:dyDescent="0.35">
      <c r="A11" s="8">
        <v>46272</v>
      </c>
      <c r="B11" s="11">
        <v>3</v>
      </c>
      <c r="C11" s="11">
        <v>0</v>
      </c>
      <c r="D11" s="11">
        <v>6</v>
      </c>
      <c r="E11" s="11">
        <v>4</v>
      </c>
      <c r="F11" s="11">
        <v>5</v>
      </c>
      <c r="G11" s="11">
        <v>1</v>
      </c>
      <c r="H11" s="11">
        <v>7</v>
      </c>
      <c r="I11" s="11">
        <v>0</v>
      </c>
      <c r="J11" s="11">
        <v>5</v>
      </c>
      <c r="K11" s="11">
        <v>1</v>
      </c>
      <c r="L11" s="11">
        <v>4</v>
      </c>
      <c r="M11" s="11">
        <v>1</v>
      </c>
      <c r="N11" s="11">
        <v>0</v>
      </c>
      <c r="O11" s="11">
        <v>7</v>
      </c>
      <c r="P11" s="11">
        <v>3</v>
      </c>
      <c r="Q11" s="11">
        <v>6</v>
      </c>
      <c r="R11" s="11">
        <v>2</v>
      </c>
      <c r="S11" s="11">
        <v>6</v>
      </c>
      <c r="T11" s="11">
        <v>6</v>
      </c>
      <c r="U11" s="11">
        <v>5</v>
      </c>
      <c r="V11" s="11">
        <v>5</v>
      </c>
      <c r="W11" s="11">
        <v>2</v>
      </c>
      <c r="X11" s="11">
        <v>1</v>
      </c>
      <c r="Y11" s="11">
        <v>0</v>
      </c>
      <c r="Z11" s="11">
        <v>4</v>
      </c>
      <c r="AA11" s="11">
        <v>3</v>
      </c>
      <c r="AB11" s="11">
        <v>3</v>
      </c>
      <c r="AC11" s="11">
        <v>4</v>
      </c>
      <c r="AD11" s="11">
        <v>2</v>
      </c>
      <c r="AE11" s="11">
        <v>7</v>
      </c>
      <c r="AF11" s="11">
        <v>4</v>
      </c>
      <c r="AG11" s="11">
        <v>6</v>
      </c>
      <c r="AH11" s="11">
        <v>0</v>
      </c>
      <c r="AI11" s="11">
        <v>6</v>
      </c>
      <c r="AJ11" s="11">
        <v>4</v>
      </c>
    </row>
    <row r="12" spans="1:36" x14ac:dyDescent="0.35">
      <c r="A12" s="8">
        <v>46273</v>
      </c>
      <c r="B12" s="11">
        <v>0</v>
      </c>
      <c r="C12" s="11">
        <v>1</v>
      </c>
      <c r="D12" s="11">
        <v>6</v>
      </c>
      <c r="E12" s="11">
        <v>5</v>
      </c>
      <c r="F12" s="11">
        <v>7</v>
      </c>
      <c r="G12" s="11">
        <v>3</v>
      </c>
      <c r="H12" s="11">
        <v>7</v>
      </c>
      <c r="I12" s="11">
        <v>5</v>
      </c>
      <c r="J12" s="11">
        <v>6</v>
      </c>
      <c r="K12" s="11">
        <v>4</v>
      </c>
      <c r="L12" s="11">
        <v>3</v>
      </c>
      <c r="M12" s="11">
        <v>3</v>
      </c>
      <c r="N12" s="11">
        <v>2</v>
      </c>
      <c r="O12" s="11">
        <v>7</v>
      </c>
      <c r="P12" s="11">
        <v>2</v>
      </c>
      <c r="Q12" s="11">
        <v>2</v>
      </c>
      <c r="R12" s="11">
        <v>6</v>
      </c>
      <c r="S12" s="11">
        <v>0</v>
      </c>
      <c r="T12" s="11">
        <v>0</v>
      </c>
      <c r="U12" s="11">
        <v>2</v>
      </c>
      <c r="V12" s="11">
        <v>1</v>
      </c>
      <c r="W12" s="11">
        <v>7</v>
      </c>
      <c r="X12" s="11">
        <v>0</v>
      </c>
      <c r="Y12" s="11">
        <v>5</v>
      </c>
      <c r="Z12" s="11">
        <v>1</v>
      </c>
      <c r="AA12" s="11">
        <v>7</v>
      </c>
      <c r="AB12" s="11">
        <v>1</v>
      </c>
      <c r="AC12" s="11">
        <v>0</v>
      </c>
      <c r="AD12" s="11">
        <v>3</v>
      </c>
      <c r="AE12" s="11">
        <v>2</v>
      </c>
      <c r="AF12" s="11">
        <v>4</v>
      </c>
      <c r="AG12" s="11">
        <v>7</v>
      </c>
      <c r="AH12" s="11">
        <v>5</v>
      </c>
      <c r="AI12" s="11">
        <v>2</v>
      </c>
      <c r="AJ12" s="11">
        <v>5</v>
      </c>
    </row>
    <row r="13" spans="1:36" x14ac:dyDescent="0.35">
      <c r="A13" s="8">
        <v>46274</v>
      </c>
      <c r="B13" s="11">
        <v>7</v>
      </c>
      <c r="C13" s="11">
        <v>2</v>
      </c>
      <c r="D13" s="11">
        <v>6</v>
      </c>
      <c r="E13" s="11">
        <v>0</v>
      </c>
      <c r="F13" s="11">
        <v>4</v>
      </c>
      <c r="G13" s="11">
        <v>6</v>
      </c>
      <c r="H13" s="11">
        <v>6</v>
      </c>
      <c r="I13" s="11">
        <v>2</v>
      </c>
      <c r="J13" s="11">
        <v>4</v>
      </c>
      <c r="K13" s="11">
        <v>5</v>
      </c>
      <c r="L13" s="11">
        <v>6</v>
      </c>
      <c r="M13" s="11">
        <v>2</v>
      </c>
      <c r="N13" s="11">
        <v>3</v>
      </c>
      <c r="O13" s="11">
        <v>2</v>
      </c>
      <c r="P13" s="11">
        <v>7</v>
      </c>
      <c r="Q13" s="11">
        <v>7</v>
      </c>
      <c r="R13" s="11">
        <v>4</v>
      </c>
      <c r="S13" s="11">
        <v>6</v>
      </c>
      <c r="T13" s="11">
        <v>2</v>
      </c>
      <c r="U13" s="11">
        <v>1</v>
      </c>
      <c r="V13" s="11">
        <v>5</v>
      </c>
      <c r="W13" s="11">
        <v>6</v>
      </c>
      <c r="X13" s="11">
        <v>1</v>
      </c>
      <c r="Y13" s="11">
        <v>0</v>
      </c>
      <c r="Z13" s="11">
        <v>1</v>
      </c>
      <c r="AA13" s="11">
        <v>1</v>
      </c>
      <c r="AB13" s="11">
        <v>3</v>
      </c>
      <c r="AC13" s="11">
        <v>5</v>
      </c>
      <c r="AD13" s="11">
        <v>2</v>
      </c>
      <c r="AE13" s="11">
        <v>1</v>
      </c>
      <c r="AF13" s="11">
        <v>0</v>
      </c>
      <c r="AG13" s="11">
        <v>5</v>
      </c>
      <c r="AH13" s="11">
        <v>6</v>
      </c>
      <c r="AI13" s="11">
        <v>5</v>
      </c>
      <c r="AJ13" s="11">
        <v>2</v>
      </c>
    </row>
    <row r="14" spans="1:36" x14ac:dyDescent="0.35">
      <c r="A14" s="8">
        <v>46275</v>
      </c>
      <c r="B14" s="11">
        <v>5</v>
      </c>
      <c r="C14" s="11">
        <v>5</v>
      </c>
      <c r="D14" s="11">
        <v>1</v>
      </c>
      <c r="E14" s="11">
        <v>6</v>
      </c>
      <c r="F14" s="11">
        <v>2</v>
      </c>
      <c r="G14" s="11">
        <v>4</v>
      </c>
      <c r="H14" s="11">
        <v>5</v>
      </c>
      <c r="I14" s="11">
        <v>4</v>
      </c>
      <c r="J14" s="11">
        <v>7</v>
      </c>
      <c r="K14" s="11">
        <v>0</v>
      </c>
      <c r="L14" s="11">
        <v>3</v>
      </c>
      <c r="M14" s="11">
        <v>0</v>
      </c>
      <c r="N14" s="11">
        <v>7</v>
      </c>
      <c r="O14" s="11">
        <v>0</v>
      </c>
      <c r="P14" s="11">
        <v>5</v>
      </c>
      <c r="Q14" s="11">
        <v>4</v>
      </c>
      <c r="R14" s="11">
        <v>6</v>
      </c>
      <c r="S14" s="11">
        <v>0</v>
      </c>
      <c r="T14" s="11">
        <v>5</v>
      </c>
      <c r="U14" s="11">
        <v>2</v>
      </c>
      <c r="V14" s="11">
        <v>3</v>
      </c>
      <c r="W14" s="11">
        <v>3</v>
      </c>
      <c r="X14" s="11">
        <v>0</v>
      </c>
      <c r="Y14" s="11">
        <v>7</v>
      </c>
      <c r="Z14" s="11">
        <v>1</v>
      </c>
      <c r="AA14" s="11">
        <v>3</v>
      </c>
      <c r="AB14" s="11">
        <v>7</v>
      </c>
      <c r="AC14" s="11">
        <v>6</v>
      </c>
      <c r="AD14" s="11">
        <v>3</v>
      </c>
      <c r="AE14" s="11">
        <v>2</v>
      </c>
      <c r="AF14" s="11">
        <v>1</v>
      </c>
      <c r="AG14" s="11">
        <v>3</v>
      </c>
      <c r="AH14" s="11">
        <v>2</v>
      </c>
      <c r="AI14" s="11">
        <v>5</v>
      </c>
      <c r="AJ14" s="11">
        <v>3</v>
      </c>
    </row>
    <row r="15" spans="1:36" x14ac:dyDescent="0.35">
      <c r="A15" s="8">
        <v>46276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x14ac:dyDescent="0.35">
      <c r="A16" s="8">
        <v>46277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x14ac:dyDescent="0.35">
      <c r="A17" s="8">
        <v>46278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x14ac:dyDescent="0.35">
      <c r="A18" s="8">
        <v>46279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x14ac:dyDescent="0.35">
      <c r="A19" s="8">
        <v>46280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x14ac:dyDescent="0.35">
      <c r="A20" s="8">
        <v>46281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x14ac:dyDescent="0.35">
      <c r="A21" s="8">
        <v>46282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x14ac:dyDescent="0.35">
      <c r="A22" s="8">
        <v>46283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x14ac:dyDescent="0.35">
      <c r="A23" s="8">
        <v>46284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x14ac:dyDescent="0.35">
      <c r="A24" s="8">
        <v>46285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x14ac:dyDescent="0.35">
      <c r="A25" s="8">
        <v>46286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x14ac:dyDescent="0.35">
      <c r="A26" s="8">
        <v>46287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x14ac:dyDescent="0.35">
      <c r="A27" s="8">
        <v>46288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x14ac:dyDescent="0.35">
      <c r="A28" s="8">
        <v>46289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x14ac:dyDescent="0.35">
      <c r="A29" s="8">
        <v>46290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x14ac:dyDescent="0.35">
      <c r="A30" s="8">
        <v>46291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x14ac:dyDescent="0.35">
      <c r="A31" s="8">
        <v>46292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x14ac:dyDescent="0.35">
      <c r="A32" s="8">
        <v>46293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x14ac:dyDescent="0.35">
      <c r="A33" s="8">
        <v>46294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x14ac:dyDescent="0.35">
      <c r="A34" s="8">
        <v>46295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ht="15" thickBot="1" x14ac:dyDescent="0.4">
      <c r="A35" s="8">
        <v>46296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1:36" ht="15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539B-7994-412C-B9A9-DCFCC39C5165}">
  <sheetPr>
    <tabColor rgb="FFFF0000"/>
  </sheetPr>
  <dimension ref="B1:AG33"/>
  <sheetViews>
    <sheetView showGridLines="0" workbookViewId="0">
      <selection activeCell="C7" sqref="C7"/>
    </sheetView>
  </sheetViews>
  <sheetFormatPr defaultRowHeight="14.5" x14ac:dyDescent="0.35"/>
  <cols>
    <col min="1" max="1" width="4.08984375" customWidth="1"/>
    <col min="3" max="3" width="7.81640625" bestFit="1" customWidth="1"/>
    <col min="4" max="11" width="5.90625" bestFit="1" customWidth="1"/>
    <col min="12" max="33" width="6.6328125" bestFit="1" customWidth="1"/>
  </cols>
  <sheetData>
    <row r="1" spans="2:33" ht="25" x14ac:dyDescent="0.6">
      <c r="B1" s="23" t="s">
        <v>13</v>
      </c>
      <c r="C1" s="20"/>
      <c r="D1" s="20"/>
      <c r="E1" s="20"/>
      <c r="F1" s="20"/>
      <c r="G1" s="20"/>
      <c r="H1" s="20"/>
    </row>
    <row r="2" spans="2:33" ht="21" x14ac:dyDescent="0.5">
      <c r="B2" s="22" t="str">
        <f ca="1">"Update "&amp;TEXT(TODAY(),"DD-MMM-YYYY")</f>
        <v>Update 10-Sep-2026</v>
      </c>
      <c r="C2" s="20"/>
      <c r="D2" s="20"/>
      <c r="E2" s="20"/>
      <c r="F2" s="20"/>
      <c r="G2" s="20"/>
      <c r="H2" s="20"/>
    </row>
    <row r="3" spans="2:33" x14ac:dyDescent="0.35">
      <c r="B3" s="16" t="s">
        <v>12</v>
      </c>
      <c r="C3" s="15">
        <v>50</v>
      </c>
      <c r="D3" s="15">
        <v>70</v>
      </c>
      <c r="E3" s="15">
        <v>100</v>
      </c>
      <c r="F3" s="15">
        <v>125</v>
      </c>
      <c r="G3" s="15">
        <v>165</v>
      </c>
      <c r="H3" s="15" t="s">
        <v>10</v>
      </c>
    </row>
    <row r="4" spans="2:33" x14ac:dyDescent="0.35">
      <c r="B4" s="17" t="s">
        <v>0</v>
      </c>
      <c r="C4" s="33" cm="1">
        <f t="array" ref="C4">SUMPRODUCT((INPUT!$B$4:$AJ$4=Resume!C$3)*(_xlfn.SCAN("",INPUT!$B$3:$AJ$3,_xlfn.LAMBDA(_xlpm.a,_xlpm.b,IF(_xlpm.b="",_xlpm.a,_xlpm.b)))=Resume!$B4)*(INPUT!$B$5:$AJ$35))</f>
        <v>28</v>
      </c>
      <c r="D4" s="33" cm="1">
        <f t="array" ref="D4">SUMPRODUCT((INPUT!$B$4:$AJ$4=Resume!D$3)*(_xlfn.SCAN("",INPUT!$B$3:$AJ$3,_xlfn.LAMBDA(_xlpm.a,_xlpm.b,IF(_xlpm.b="",_xlpm.a,_xlpm.b)))=Resume!$B4)*(INPUT!$B$5:$AJ$35))</f>
        <v>31</v>
      </c>
      <c r="E4" s="33" cm="1">
        <f t="array" ref="E4">SUMPRODUCT((INPUT!$B$4:$AJ$4=Resume!E$3)*(_xlfn.SCAN("",INPUT!$B$3:$AJ$3,_xlfn.LAMBDA(_xlpm.a,_xlpm.b,IF(_xlpm.b="",_xlpm.a,_xlpm.b)))=Resume!$B4)*(INPUT!$B$5:$AJ$35))</f>
        <v>37</v>
      </c>
      <c r="F4" s="33" cm="1">
        <f t="array" ref="F4">SUMPRODUCT((INPUT!$B$4:$AJ$4=Resume!F$3)*(_xlfn.SCAN("",INPUT!$B$3:$AJ$3,_xlfn.LAMBDA(_xlpm.a,_xlpm.b,IF(_xlpm.b="",_xlpm.a,_xlpm.b)))=Resume!$B4)*(INPUT!$B$5:$AJ$35))</f>
        <v>40</v>
      </c>
      <c r="G4" s="33" cm="1">
        <f t="array" ref="G4">SUMPRODUCT((INPUT!$B$4:$AJ$4=Resume!G$3)*(_xlfn.SCAN("",INPUT!$B$3:$AJ$3,_xlfn.LAMBDA(_xlpm.a,_xlpm.b,IF(_xlpm.b="",_xlpm.a,_xlpm.b)))=Resume!$B4)*(INPUT!$B$5:$AJ$35))</f>
        <v>36</v>
      </c>
      <c r="H4" s="19">
        <f>SUM(C4:G4)</f>
        <v>172</v>
      </c>
      <c r="I4" s="35"/>
      <c r="J4" s="36"/>
      <c r="K4" s="36"/>
    </row>
    <row r="5" spans="2:33" x14ac:dyDescent="0.35">
      <c r="B5" s="17" t="s">
        <v>5</v>
      </c>
      <c r="C5" s="33" cm="1">
        <f t="array" ref="C5">SUMPRODUCT((INPUT!$B$4:$AJ$4=Resume!C$3)*(_xlfn.SCAN("",INPUT!$B$3:$AJ$3,_xlfn.LAMBDA(_xlpm.a,_xlpm.b,IF(_xlpm.b="",_xlpm.a,_xlpm.b)))=Resume!$B5)*(INPUT!$B$5:$AJ$35))</f>
        <v>33</v>
      </c>
      <c r="D5" s="33" cm="1">
        <f t="array" ref="D5">SUMPRODUCT((INPUT!$B$4:$AJ$4=Resume!D$3)*(_xlfn.SCAN("",INPUT!$B$3:$AJ$3,_xlfn.LAMBDA(_xlpm.a,_xlpm.b,IF(_xlpm.b="",_xlpm.a,_xlpm.b)))=Resume!$B5)*(INPUT!$B$5:$AJ$35))</f>
        <v>54</v>
      </c>
      <c r="E5" s="33" cm="1">
        <f t="array" ref="E5">SUMPRODUCT((INPUT!$B$4:$AJ$4=Resume!E$3)*(_xlfn.SCAN("",INPUT!$B$3:$AJ$3,_xlfn.LAMBDA(_xlpm.a,_xlpm.b,IF(_xlpm.b="",_xlpm.a,_xlpm.b)))=Resume!$B5)*(INPUT!$B$5:$AJ$35))</f>
        <v>33</v>
      </c>
      <c r="F5" s="33" cm="1">
        <f t="array" ref="F5">SUMPRODUCT((INPUT!$B$4:$AJ$4=Resume!F$3)*(_xlfn.SCAN("",INPUT!$B$3:$AJ$3,_xlfn.LAMBDA(_xlpm.a,_xlpm.b,IF(_xlpm.b="",_xlpm.a,_xlpm.b)))=Resume!$B5)*(INPUT!$B$5:$AJ$35))</f>
        <v>40</v>
      </c>
      <c r="G5" s="33" cm="1">
        <f t="array" ref="G5">SUMPRODUCT((INPUT!$B$4:$AJ$4=Resume!G$3)*(_xlfn.SCAN("",INPUT!$B$3:$AJ$3,_xlfn.LAMBDA(_xlpm.a,_xlpm.b,IF(_xlpm.b="",_xlpm.a,_xlpm.b)))=Resume!$B5)*(INPUT!$B$5:$AJ$35))</f>
        <v>41</v>
      </c>
      <c r="H5" s="19">
        <f>SUM(C5:G5)</f>
        <v>201</v>
      </c>
      <c r="I5" s="35"/>
      <c r="J5" s="36"/>
      <c r="K5" s="36"/>
    </row>
    <row r="6" spans="2:33" x14ac:dyDescent="0.35">
      <c r="B6" s="17" t="s">
        <v>1</v>
      </c>
      <c r="C6" s="33" cm="1">
        <f t="array" ref="C6">SUMPRODUCT((INPUT!$B$4:$AJ$4=Resume!C$3)*(_xlfn.SCAN("",INPUT!$B$3:$AJ$3,_xlfn.LAMBDA(_xlpm.a,_xlpm.b,IF(_xlpm.b="",_xlpm.a,_xlpm.b)))=Resume!$B6)*(INPUT!$B$5:$AJ$35))</f>
        <v>36</v>
      </c>
      <c r="D6" s="33" cm="1">
        <f t="array" ref="D6">SUMPRODUCT((INPUT!$B$4:$AJ$4=Resume!D$3)*(_xlfn.SCAN("",INPUT!$B$3:$AJ$3,_xlfn.LAMBDA(_xlpm.a,_xlpm.b,IF(_xlpm.b="",_xlpm.a,_xlpm.b)))=Resume!$B6)*(INPUT!$B$5:$AJ$35))</f>
        <v>16</v>
      </c>
      <c r="E6" s="33" cm="1">
        <f t="array" ref="E6">SUMPRODUCT((INPUT!$B$4:$AJ$4=Resume!E$3)*(_xlfn.SCAN("",INPUT!$B$3:$AJ$3,_xlfn.LAMBDA(_xlpm.a,_xlpm.b,IF(_xlpm.b="",_xlpm.a,_xlpm.b)))=Resume!$B6)*(INPUT!$B$5:$AJ$35))</f>
        <v>37</v>
      </c>
      <c r="F6" s="33" cm="1">
        <f t="array" ref="F6">SUMPRODUCT((INPUT!$B$4:$AJ$4=Resume!F$3)*(_xlfn.SCAN("",INPUT!$B$3:$AJ$3,_xlfn.LAMBDA(_xlpm.a,_xlpm.b,IF(_xlpm.b="",_xlpm.a,_xlpm.b)))=Resume!$B6)*(INPUT!$B$5:$AJ$35))</f>
        <v>47</v>
      </c>
      <c r="G6" s="33" cm="1">
        <f t="array" ref="G6">SUMPRODUCT((INPUT!$B$4:$AJ$4=Resume!G$3)*(_xlfn.SCAN("",INPUT!$B$3:$AJ$3,_xlfn.LAMBDA(_xlpm.a,_xlpm.b,IF(_xlpm.b="",_xlpm.a,_xlpm.b)))=Resume!$B6)*(INPUT!$B$5:$AJ$35))</f>
        <v>29</v>
      </c>
      <c r="H6" s="19">
        <f>SUM(C6:G6)</f>
        <v>165</v>
      </c>
      <c r="I6" s="35"/>
      <c r="J6" s="36"/>
      <c r="K6" s="36"/>
    </row>
    <row r="7" spans="2:33" x14ac:dyDescent="0.35">
      <c r="B7" s="17" t="s">
        <v>2</v>
      </c>
      <c r="C7" s="33" cm="1">
        <f t="array" ref="C7">SUMPRODUCT((INPUT!$B$4:$AJ$4=Resume!C$3)*(_xlfn.SCAN("",INPUT!$B$3:$AJ$3,_xlfn.LAMBDA(_xlpm.a,_xlpm.b,IF(_xlpm.b="",_xlpm.a,_xlpm.b)))=Resume!$B7)*(INPUT!$B$5:$AJ$35))</f>
        <v>49</v>
      </c>
      <c r="D7" s="33" cm="1">
        <f t="array" ref="D7">SUMPRODUCT((INPUT!$B$4:$AJ$4=Resume!D$3)*(_xlfn.SCAN("",INPUT!$B$3:$AJ$3,_xlfn.LAMBDA(_xlpm.a,_xlpm.b,IF(_xlpm.b="",_xlpm.a,_xlpm.b)))=Resume!$B7)*(INPUT!$B$5:$AJ$35))</f>
        <v>45</v>
      </c>
      <c r="E7" s="33" cm="1">
        <f t="array" ref="E7">SUMPRODUCT((INPUT!$B$4:$AJ$4=Resume!E$3)*(_xlfn.SCAN("",INPUT!$B$3:$AJ$3,_xlfn.LAMBDA(_xlpm.a,_xlpm.b,IF(_xlpm.b="",_xlpm.a,_xlpm.b)))=Resume!$B7)*(INPUT!$B$5:$AJ$35))</f>
        <v>46</v>
      </c>
      <c r="F7" s="33" cm="1">
        <f t="array" ref="F7">SUMPRODUCT((INPUT!$B$4:$AJ$4=Resume!F$3)*(_xlfn.SCAN("",INPUT!$B$3:$AJ$3,_xlfn.LAMBDA(_xlpm.a,_xlpm.b,IF(_xlpm.b="",_xlpm.a,_xlpm.b)))=Resume!$B7)*(INPUT!$B$5:$AJ$35))</f>
        <v>34</v>
      </c>
      <c r="G7" s="33" cm="1">
        <f t="array" ref="G7">SUMPRODUCT((INPUT!$B$4:$AJ$4=Resume!G$3)*(_xlfn.SCAN("",INPUT!$B$3:$AJ$3,_xlfn.LAMBDA(_xlpm.a,_xlpm.b,IF(_xlpm.b="",_xlpm.a,_xlpm.b)))=Resume!$B7)*(INPUT!$B$5:$AJ$35))</f>
        <v>30</v>
      </c>
      <c r="H7" s="19">
        <f>SUM(C7:G7)</f>
        <v>204</v>
      </c>
      <c r="I7" s="35"/>
      <c r="J7" s="36"/>
      <c r="K7" s="36"/>
    </row>
    <row r="8" spans="2:33" x14ac:dyDescent="0.35">
      <c r="B8" s="17" t="s">
        <v>3</v>
      </c>
      <c r="C8" s="33" cm="1">
        <f t="array" ref="C8">SUMPRODUCT((INPUT!$B$4:$AJ$4=Resume!C$3)*(_xlfn.SCAN("",INPUT!$B$3:$AJ$3,_xlfn.LAMBDA(_xlpm.a,_xlpm.b,IF(_xlpm.b="",_xlpm.a,_xlpm.b)))=Resume!$B8)*(INPUT!$B$5:$AJ$35))</f>
        <v>33</v>
      </c>
      <c r="D8" s="33" cm="1">
        <f t="array" ref="D8">SUMPRODUCT((INPUT!$B$4:$AJ$4=Resume!D$3)*(_xlfn.SCAN("",INPUT!$B$3:$AJ$3,_xlfn.LAMBDA(_xlpm.a,_xlpm.b,IF(_xlpm.b="",_xlpm.a,_xlpm.b)))=Resume!$B8)*(INPUT!$B$5:$AJ$35))</f>
        <v>36</v>
      </c>
      <c r="E8" s="33" cm="1">
        <f t="array" ref="E8">SUMPRODUCT((INPUT!$B$4:$AJ$4=Resume!E$3)*(_xlfn.SCAN("",INPUT!$B$3:$AJ$3,_xlfn.LAMBDA(_xlpm.a,_xlpm.b,IF(_xlpm.b="",_xlpm.a,_xlpm.b)))=Resume!$B8)*(INPUT!$B$5:$AJ$35))</f>
        <v>14</v>
      </c>
      <c r="F8" s="33" cm="1">
        <f t="array" ref="F8">SUMPRODUCT((INPUT!$B$4:$AJ$4=Resume!F$3)*(_xlfn.SCAN("",INPUT!$B$3:$AJ$3,_xlfn.LAMBDA(_xlpm.a,_xlpm.b,IF(_xlpm.b="",_xlpm.a,_xlpm.b)))=Resume!$B8)*(INPUT!$B$5:$AJ$35))</f>
        <v>32</v>
      </c>
      <c r="G8" s="33" cm="1">
        <f t="array" ref="G8">SUMPRODUCT((INPUT!$B$4:$AJ$4=Resume!G$3)*(_xlfn.SCAN("",INPUT!$B$3:$AJ$3,_xlfn.LAMBDA(_xlpm.a,_xlpm.b,IF(_xlpm.b="",_xlpm.a,_xlpm.b)))=Resume!$B8)*(INPUT!$B$5:$AJ$35))</f>
        <v>26</v>
      </c>
      <c r="H8" s="19">
        <f>SUM(C8:G8)</f>
        <v>141</v>
      </c>
      <c r="I8" s="35"/>
      <c r="J8" s="36"/>
      <c r="K8" s="36"/>
    </row>
    <row r="9" spans="2:33" x14ac:dyDescent="0.35">
      <c r="B9" s="17" t="s">
        <v>4</v>
      </c>
      <c r="C9" s="33" cm="1">
        <f t="array" ref="C9">SUMPRODUCT((INPUT!$B$4:$AJ$4=Resume!C$3)*(_xlfn.SCAN("",INPUT!$B$3:$AJ$3,_xlfn.LAMBDA(_xlpm.a,_xlpm.b,IF(_xlpm.b="",_xlpm.a,_xlpm.b)))=Resume!$B9)*(INPUT!$B$5:$AJ$35))</f>
        <v>32</v>
      </c>
      <c r="D9" s="33" cm="1">
        <f t="array" ref="D9">SUMPRODUCT((INPUT!$B$4:$AJ$4=Resume!D$3)*(_xlfn.SCAN("",INPUT!$B$3:$AJ$3,_xlfn.LAMBDA(_xlpm.a,_xlpm.b,IF(_xlpm.b="",_xlpm.a,_xlpm.b)))=Resume!$B9)*(INPUT!$B$5:$AJ$35))</f>
        <v>48</v>
      </c>
      <c r="E9" s="33" cm="1">
        <f t="array" ref="E9">SUMPRODUCT((INPUT!$B$4:$AJ$4=Resume!E$3)*(_xlfn.SCAN("",INPUT!$B$3:$AJ$3,_xlfn.LAMBDA(_xlpm.a,_xlpm.b,IF(_xlpm.b="",_xlpm.a,_xlpm.b)))=Resume!$B9)*(INPUT!$B$5:$AJ$35))</f>
        <v>45</v>
      </c>
      <c r="F9" s="33" cm="1">
        <f t="array" ref="F9">SUMPRODUCT((INPUT!$B$4:$AJ$4=Resume!F$3)*(_xlfn.SCAN("",INPUT!$B$3:$AJ$3,_xlfn.LAMBDA(_xlpm.a,_xlpm.b,IF(_xlpm.b="",_xlpm.a,_xlpm.b)))=Resume!$B9)*(INPUT!$B$5:$AJ$35))</f>
        <v>29</v>
      </c>
      <c r="G9" s="33" cm="1">
        <f t="array" ref="G9">SUMPRODUCT((INPUT!$B$4:$AJ$4=Resume!G$3)*(_xlfn.SCAN("",INPUT!$B$3:$AJ$3,_xlfn.LAMBDA(_xlpm.a,_xlpm.b,IF(_xlpm.b="",_xlpm.a,_xlpm.b)))=Resume!$B9)*(INPUT!$B$5:$AJ$35))</f>
        <v>26</v>
      </c>
      <c r="H9" s="19">
        <f>SUM(C9:G9)</f>
        <v>180</v>
      </c>
      <c r="I9" s="35"/>
      <c r="J9" s="36"/>
      <c r="K9" s="36"/>
    </row>
    <row r="10" spans="2:33" x14ac:dyDescent="0.35">
      <c r="B10" s="25" t="s">
        <v>9</v>
      </c>
      <c r="C10" s="34" cm="1">
        <f t="array" ref="C10">SUMPRODUCT((INPUT!$B$4:$AJ$4=Resume!C$3)*(_xlfn.SCAN("",INPUT!$B$3:$AJ$3,_xlfn.LAMBDA(_xlpm.a,_xlpm.b,IF(_xlpm.b="",_xlpm.a,_xlpm.b)))=Resume!$B10)*(INPUT!$B$5:$AJ$35))</f>
        <v>32</v>
      </c>
      <c r="D10" s="34" cm="1">
        <f t="array" ref="D10">SUMPRODUCT((INPUT!$B$4:$AJ$4=Resume!D$3)*(_xlfn.SCAN("",INPUT!$B$3:$AJ$3,_xlfn.LAMBDA(_xlpm.a,_xlpm.b,IF(_xlpm.b="",_xlpm.a,_xlpm.b)))=Resume!$B10)*(INPUT!$B$5:$AJ$35))</f>
        <v>39</v>
      </c>
      <c r="E10" s="34" cm="1">
        <f t="array" ref="E10">SUMPRODUCT((INPUT!$B$4:$AJ$4=Resume!E$3)*(_xlfn.SCAN("",INPUT!$B$3:$AJ$3,_xlfn.LAMBDA(_xlpm.a,_xlpm.b,IF(_xlpm.b="",_xlpm.a,_xlpm.b)))=Resume!$B10)*(INPUT!$B$5:$AJ$35))</f>
        <v>32</v>
      </c>
      <c r="F10" s="34" cm="1">
        <f t="array" ref="F10">SUMPRODUCT((INPUT!$B$4:$AJ$4=Resume!F$3)*(_xlfn.SCAN("",INPUT!$B$3:$AJ$3,_xlfn.LAMBDA(_xlpm.a,_xlpm.b,IF(_xlpm.b="",_xlpm.a,_xlpm.b)))=Resume!$B10)*(INPUT!$B$5:$AJ$35))</f>
        <v>45</v>
      </c>
      <c r="G10" s="34" cm="1">
        <f t="array" ref="G10">SUMPRODUCT((INPUT!$B$4:$AJ$4=Resume!G$3)*(_xlfn.SCAN("",INPUT!$B$3:$AJ$3,_xlfn.LAMBDA(_xlpm.a,_xlpm.b,IF(_xlpm.b="",_xlpm.a,_xlpm.b)))=Resume!$B10)*(INPUT!$B$5:$AJ$35))</f>
        <v>28</v>
      </c>
      <c r="H10" s="19">
        <f>SUM(C10:G10)</f>
        <v>176</v>
      </c>
      <c r="I10" s="35"/>
      <c r="J10" s="36"/>
      <c r="K10" s="36"/>
    </row>
    <row r="11" spans="2:33" x14ac:dyDescent="0.35">
      <c r="B11" s="18" t="s">
        <v>10</v>
      </c>
      <c r="C11" s="19">
        <f>SUM(C3:C10)</f>
        <v>293</v>
      </c>
      <c r="D11" s="19">
        <f>SUM(D3:D10)</f>
        <v>339</v>
      </c>
      <c r="E11" s="19">
        <f>SUM(E3:E10)</f>
        <v>344</v>
      </c>
      <c r="F11" s="19">
        <f>SUM(F3:F10)</f>
        <v>392</v>
      </c>
      <c r="G11" s="19">
        <f>SUM(G3:G10)</f>
        <v>381</v>
      </c>
      <c r="H11" s="37">
        <f>SUM(H4:H10)</f>
        <v>1239</v>
      </c>
    </row>
    <row r="13" spans="2:33" ht="25" x14ac:dyDescent="0.6">
      <c r="B13" s="23" t="s">
        <v>14</v>
      </c>
      <c r="C13" s="20"/>
      <c r="D13" s="20"/>
      <c r="E13" s="20"/>
      <c r="F13" s="20"/>
      <c r="G13" s="20"/>
      <c r="H13" s="20"/>
      <c r="I13" s="21"/>
      <c r="J13" s="21"/>
    </row>
    <row r="14" spans="2:33" ht="21" x14ac:dyDescent="0.5">
      <c r="B14" s="22" t="str">
        <f ca="1">"Update "&amp;TEXT(TODAY(),"DD-MMM-YYYY")</f>
        <v>Update 10-Sep-2026</v>
      </c>
      <c r="C14" s="20"/>
      <c r="D14" s="20"/>
      <c r="E14" s="20"/>
      <c r="F14" s="20"/>
      <c r="G14" s="20"/>
      <c r="H14" s="20"/>
    </row>
    <row r="15" spans="2:33" x14ac:dyDescent="0.35">
      <c r="B15" s="16" t="s">
        <v>12</v>
      </c>
      <c r="C15" s="26">
        <v>46266</v>
      </c>
      <c r="D15" s="26">
        <v>46267</v>
      </c>
      <c r="E15" s="26">
        <v>46268</v>
      </c>
      <c r="F15" s="26">
        <v>46269</v>
      </c>
      <c r="G15" s="26">
        <v>46270</v>
      </c>
      <c r="H15" s="26">
        <v>46271</v>
      </c>
      <c r="I15" s="26">
        <v>46272</v>
      </c>
      <c r="J15" s="26">
        <v>46273</v>
      </c>
      <c r="K15" s="26">
        <v>46274</v>
      </c>
      <c r="L15" s="26">
        <v>46275</v>
      </c>
      <c r="M15" s="26">
        <v>46276</v>
      </c>
      <c r="N15" s="26">
        <v>46277</v>
      </c>
      <c r="O15" s="26">
        <v>46278</v>
      </c>
      <c r="P15" s="26">
        <v>46279</v>
      </c>
      <c r="Q15" s="26">
        <v>46280</v>
      </c>
      <c r="R15" s="26">
        <v>46281</v>
      </c>
      <c r="S15" s="26">
        <v>46282</v>
      </c>
      <c r="T15" s="26">
        <v>46283</v>
      </c>
      <c r="U15" s="26">
        <v>46284</v>
      </c>
      <c r="V15" s="26">
        <v>46285</v>
      </c>
      <c r="W15" s="26">
        <v>46286</v>
      </c>
      <c r="X15" s="26">
        <v>46287</v>
      </c>
      <c r="Y15" s="26">
        <v>46288</v>
      </c>
      <c r="Z15" s="26">
        <v>46289</v>
      </c>
      <c r="AA15" s="26">
        <v>46290</v>
      </c>
      <c r="AB15" s="26">
        <v>46291</v>
      </c>
      <c r="AC15" s="26">
        <v>46292</v>
      </c>
      <c r="AD15" s="26">
        <v>46293</v>
      </c>
      <c r="AE15" s="26">
        <v>46294</v>
      </c>
      <c r="AF15" s="26">
        <v>46295</v>
      </c>
      <c r="AG15" s="26">
        <v>46296</v>
      </c>
    </row>
    <row r="16" spans="2:33" x14ac:dyDescent="0.35">
      <c r="B16" s="17" t="s">
        <v>0</v>
      </c>
      <c r="C16" s="28" cm="1">
        <f t="array" ref="C16">SUMPRODUCT((INPUT!$A$5:$A$35=Resume!C$15)*(_xlfn.SCAN("",INPUT!$B$3:$AJ$3,_xlfn.LAMBDA(_xlpm.a,_xlpm.b,IF(_xlpm.b="",_xlpm.a,_xlpm.b)))=Resume!$B16)*INPUT!$B$5:$AJ$35)</f>
        <v>23</v>
      </c>
      <c r="D16" s="28" cm="1">
        <f t="array" ref="D16">SUMPRODUCT((INPUT!$A$5:$A$35=Resume!D$15)*(_xlfn.SCAN("",INPUT!$B$3:$AJ$3,_xlfn.LAMBDA(_xlpm.a,_xlpm.b,IF(_xlpm.b="",_xlpm.a,_xlpm.b)))=Resume!$B16)*INPUT!$B$5:$AJ$35)</f>
        <v>18</v>
      </c>
      <c r="E16" s="28" cm="1">
        <f t="array" ref="E16">SUMPRODUCT((INPUT!$A$5:$A$35=Resume!E$15)*(_xlfn.SCAN("",INPUT!$B$3:$AJ$3,_xlfn.LAMBDA(_xlpm.a,_xlpm.b,IF(_xlpm.b="",_xlpm.a,_xlpm.b)))=Resume!$B16)*INPUT!$B$5:$AJ$35)</f>
        <v>19</v>
      </c>
      <c r="F16" s="28" cm="1">
        <f t="array" ref="F16">SUMPRODUCT((INPUT!$A$5:$A$35=Resume!F$15)*(_xlfn.SCAN("",INPUT!$B$3:$AJ$3,_xlfn.LAMBDA(_xlpm.a,_xlpm.b,IF(_xlpm.b="",_xlpm.a,_xlpm.b)))=Resume!$B16)*INPUT!$B$5:$AJ$35)</f>
        <v>18</v>
      </c>
      <c r="G16" s="28" cm="1">
        <f t="array" ref="G16">SUMPRODUCT((INPUT!$A$5:$A$35=Resume!G$15)*(_xlfn.SCAN("",INPUT!$B$3:$AJ$3,_xlfn.LAMBDA(_xlpm.a,_xlpm.b,IF(_xlpm.b="",_xlpm.a,_xlpm.b)))=Resume!$B16)*INPUT!$B$5:$AJ$35)</f>
        <v>4</v>
      </c>
      <c r="H16" s="28" cm="1">
        <f t="array" ref="H16">SUMPRODUCT((INPUT!$A$5:$A$35=Resume!H$15)*(_xlfn.SCAN("",INPUT!$B$3:$AJ$3,_xlfn.LAMBDA(_xlpm.a,_xlpm.b,IF(_xlpm.b="",_xlpm.a,_xlpm.b)))=Resume!$B16)*INPUT!$B$5:$AJ$35)</f>
        <v>15</v>
      </c>
      <c r="I16" s="28" cm="1">
        <f t="array" ref="I16">SUMPRODUCT((INPUT!$A$5:$A$35=Resume!I$15)*(_xlfn.SCAN("",INPUT!$B$3:$AJ$3,_xlfn.LAMBDA(_xlpm.a,_xlpm.b,IF(_xlpm.b="",_xlpm.a,_xlpm.b)))=Resume!$B16)*INPUT!$B$5:$AJ$35)</f>
        <v>18</v>
      </c>
      <c r="J16" s="28" cm="1">
        <f t="array" ref="J16">SUMPRODUCT((INPUT!$A$5:$A$35=Resume!J$15)*(_xlfn.SCAN("",INPUT!$B$3:$AJ$3,_xlfn.LAMBDA(_xlpm.a,_xlpm.b,IF(_xlpm.b="",_xlpm.a,_xlpm.b)))=Resume!$B16)*INPUT!$B$5:$AJ$35)</f>
        <v>19</v>
      </c>
      <c r="K16" s="28" cm="1">
        <f t="array" ref="K16">SUMPRODUCT((INPUT!$A$5:$A$35=Resume!K$15)*(_xlfn.SCAN("",INPUT!$B$3:$AJ$3,_xlfn.LAMBDA(_xlpm.a,_xlpm.b,IF(_xlpm.b="",_xlpm.a,_xlpm.b)))=Resume!$B16)*INPUT!$B$5:$AJ$35)</f>
        <v>19</v>
      </c>
      <c r="L16" s="28" cm="1">
        <f t="array" ref="L16">SUMPRODUCT((INPUT!$A$5:$A$35=Resume!L$15)*(_xlfn.SCAN("",INPUT!$B$3:$AJ$3,_xlfn.LAMBDA(_xlpm.a,_xlpm.b,IF(_xlpm.b="",_xlpm.a,_xlpm.b)))=Resume!$B16)*INPUT!$B$5:$AJ$35)</f>
        <v>19</v>
      </c>
      <c r="M16" s="28" cm="1">
        <f t="array" ref="M16">SUMPRODUCT((INPUT!$A$5:$A$35=Resume!M$15)*(_xlfn.SCAN("",INPUT!$B$3:$AJ$3,_xlfn.LAMBDA(_xlpm.a,_xlpm.b,IF(_xlpm.b="",_xlpm.a,_xlpm.b)))=Resume!$B16)*INPUT!$B$5:$AJ$35)</f>
        <v>0</v>
      </c>
      <c r="N16" s="28" cm="1">
        <f t="array" ref="N16">SUMPRODUCT((INPUT!$A$5:$A$35=Resume!N$15)*(_xlfn.SCAN("",INPUT!$B$3:$AJ$3,_xlfn.LAMBDA(_xlpm.a,_xlpm.b,IF(_xlpm.b="",_xlpm.a,_xlpm.b)))=Resume!$B16)*INPUT!$B$5:$AJ$35)</f>
        <v>0</v>
      </c>
      <c r="O16" s="28" cm="1">
        <f t="array" ref="O16">SUMPRODUCT((INPUT!$A$5:$A$35=Resume!O$15)*(_xlfn.SCAN("",INPUT!$B$3:$AJ$3,_xlfn.LAMBDA(_xlpm.a,_xlpm.b,IF(_xlpm.b="",_xlpm.a,_xlpm.b)))=Resume!$B16)*INPUT!$B$5:$AJ$35)</f>
        <v>0</v>
      </c>
      <c r="P16" s="28" cm="1">
        <f t="array" ref="P16">SUMPRODUCT((INPUT!$A$5:$A$35=Resume!P$15)*(_xlfn.SCAN("",INPUT!$B$3:$AJ$3,_xlfn.LAMBDA(_xlpm.a,_xlpm.b,IF(_xlpm.b="",_xlpm.a,_xlpm.b)))=Resume!$B16)*INPUT!$B$5:$AJ$35)</f>
        <v>0</v>
      </c>
      <c r="Q16" s="28" cm="1">
        <f t="array" ref="Q16">SUMPRODUCT((INPUT!$A$5:$A$35=Resume!Q$15)*(_xlfn.SCAN("",INPUT!$B$3:$AJ$3,_xlfn.LAMBDA(_xlpm.a,_xlpm.b,IF(_xlpm.b="",_xlpm.a,_xlpm.b)))=Resume!$B16)*INPUT!$B$5:$AJ$35)</f>
        <v>0</v>
      </c>
      <c r="R16" s="28" cm="1">
        <f t="array" ref="R16">SUMPRODUCT((INPUT!$A$5:$A$35=Resume!R$15)*(_xlfn.SCAN("",INPUT!$B$3:$AJ$3,_xlfn.LAMBDA(_xlpm.a,_xlpm.b,IF(_xlpm.b="",_xlpm.a,_xlpm.b)))=Resume!$B16)*INPUT!$B$5:$AJ$35)</f>
        <v>0</v>
      </c>
      <c r="S16" s="28" cm="1">
        <f t="array" ref="S16">SUMPRODUCT((INPUT!$A$5:$A$35=Resume!S$15)*(_xlfn.SCAN("",INPUT!$B$3:$AJ$3,_xlfn.LAMBDA(_xlpm.a,_xlpm.b,IF(_xlpm.b="",_xlpm.a,_xlpm.b)))=Resume!$B16)*INPUT!$B$5:$AJ$35)</f>
        <v>0</v>
      </c>
      <c r="T16" s="28" cm="1">
        <f t="array" ref="T16">SUMPRODUCT((INPUT!$A$5:$A$35=Resume!T$15)*(_xlfn.SCAN("",INPUT!$B$3:$AJ$3,_xlfn.LAMBDA(_xlpm.a,_xlpm.b,IF(_xlpm.b="",_xlpm.a,_xlpm.b)))=Resume!$B16)*INPUT!$B$5:$AJ$35)</f>
        <v>0</v>
      </c>
      <c r="U16" s="28" cm="1">
        <f t="array" ref="U16">SUMPRODUCT((INPUT!$A$5:$A$35=Resume!U$15)*(_xlfn.SCAN("",INPUT!$B$3:$AJ$3,_xlfn.LAMBDA(_xlpm.a,_xlpm.b,IF(_xlpm.b="",_xlpm.a,_xlpm.b)))=Resume!$B16)*INPUT!$B$5:$AJ$35)</f>
        <v>0</v>
      </c>
      <c r="V16" s="28" cm="1">
        <f t="array" ref="V16">SUMPRODUCT((INPUT!$A$5:$A$35=Resume!V$15)*(_xlfn.SCAN("",INPUT!$B$3:$AJ$3,_xlfn.LAMBDA(_xlpm.a,_xlpm.b,IF(_xlpm.b="",_xlpm.a,_xlpm.b)))=Resume!$B16)*INPUT!$B$5:$AJ$35)</f>
        <v>0</v>
      </c>
      <c r="W16" s="28" cm="1">
        <f t="array" ref="W16">SUMPRODUCT((INPUT!$A$5:$A$35=Resume!W$15)*(_xlfn.SCAN("",INPUT!$B$3:$AJ$3,_xlfn.LAMBDA(_xlpm.a,_xlpm.b,IF(_xlpm.b="",_xlpm.a,_xlpm.b)))=Resume!$B16)*INPUT!$B$5:$AJ$35)</f>
        <v>0</v>
      </c>
      <c r="X16" s="28" cm="1">
        <f t="array" ref="X16">SUMPRODUCT((INPUT!$A$5:$A$35=Resume!X$15)*(_xlfn.SCAN("",INPUT!$B$3:$AJ$3,_xlfn.LAMBDA(_xlpm.a,_xlpm.b,IF(_xlpm.b="",_xlpm.a,_xlpm.b)))=Resume!$B16)*INPUT!$B$5:$AJ$35)</f>
        <v>0</v>
      </c>
      <c r="Y16" s="28" cm="1">
        <f t="array" ref="Y16">SUMPRODUCT((INPUT!$A$5:$A$35=Resume!Y$15)*(_xlfn.SCAN("",INPUT!$B$3:$AJ$3,_xlfn.LAMBDA(_xlpm.a,_xlpm.b,IF(_xlpm.b="",_xlpm.a,_xlpm.b)))=Resume!$B16)*INPUT!$B$5:$AJ$35)</f>
        <v>0</v>
      </c>
      <c r="Z16" s="28" cm="1">
        <f t="array" ref="Z16">SUMPRODUCT((INPUT!$A$5:$A$35=Resume!Z$15)*(_xlfn.SCAN("",INPUT!$B$3:$AJ$3,_xlfn.LAMBDA(_xlpm.a,_xlpm.b,IF(_xlpm.b="",_xlpm.a,_xlpm.b)))=Resume!$B16)*INPUT!$B$5:$AJ$35)</f>
        <v>0</v>
      </c>
      <c r="AA16" s="28" cm="1">
        <f t="array" ref="AA16">SUMPRODUCT((INPUT!$A$5:$A$35=Resume!AA$15)*(_xlfn.SCAN("",INPUT!$B$3:$AJ$3,_xlfn.LAMBDA(_xlpm.a,_xlpm.b,IF(_xlpm.b="",_xlpm.a,_xlpm.b)))=Resume!$B16)*INPUT!$B$5:$AJ$35)</f>
        <v>0</v>
      </c>
      <c r="AB16" s="28" cm="1">
        <f t="array" ref="AB16">SUMPRODUCT((INPUT!$A$5:$A$35=Resume!AB$15)*(_xlfn.SCAN("",INPUT!$B$3:$AJ$3,_xlfn.LAMBDA(_xlpm.a,_xlpm.b,IF(_xlpm.b="",_xlpm.a,_xlpm.b)))=Resume!$B16)*INPUT!$B$5:$AJ$35)</f>
        <v>0</v>
      </c>
      <c r="AC16" s="28" cm="1">
        <f t="array" ref="AC16">SUMPRODUCT((INPUT!$A$5:$A$35=Resume!AC$15)*(_xlfn.SCAN("",INPUT!$B$3:$AJ$3,_xlfn.LAMBDA(_xlpm.a,_xlpm.b,IF(_xlpm.b="",_xlpm.a,_xlpm.b)))=Resume!$B16)*INPUT!$B$5:$AJ$35)</f>
        <v>0</v>
      </c>
      <c r="AD16" s="28" cm="1">
        <f t="array" ref="AD16">SUMPRODUCT((INPUT!$A$5:$A$35=Resume!AD$15)*(_xlfn.SCAN("",INPUT!$B$3:$AJ$3,_xlfn.LAMBDA(_xlpm.a,_xlpm.b,IF(_xlpm.b="",_xlpm.a,_xlpm.b)))=Resume!$B16)*INPUT!$B$5:$AJ$35)</f>
        <v>0</v>
      </c>
      <c r="AE16" s="28" cm="1">
        <f t="array" ref="AE16">SUMPRODUCT((INPUT!$A$5:$A$35=Resume!AE$15)*(_xlfn.SCAN("",INPUT!$B$3:$AJ$3,_xlfn.LAMBDA(_xlpm.a,_xlpm.b,IF(_xlpm.b="",_xlpm.a,_xlpm.b)))=Resume!$B16)*INPUT!$B$5:$AJ$35)</f>
        <v>0</v>
      </c>
      <c r="AF16" s="28" cm="1">
        <f t="array" ref="AF16">SUMPRODUCT((INPUT!$A$5:$A$35=Resume!AF$15)*(_xlfn.SCAN("",INPUT!$B$3:$AJ$3,_xlfn.LAMBDA(_xlpm.a,_xlpm.b,IF(_xlpm.b="",_xlpm.a,_xlpm.b)))=Resume!$B16)*INPUT!$B$5:$AJ$35)</f>
        <v>0</v>
      </c>
      <c r="AG16" s="28" cm="1">
        <f t="array" ref="AG16">SUMPRODUCT((INPUT!$A$5:$A$35=Resume!AG$15)*(_xlfn.SCAN("",INPUT!$B$3:$AJ$3,_xlfn.LAMBDA(_xlpm.a,_xlpm.b,IF(_xlpm.b="",_xlpm.a,_xlpm.b)))=Resume!$B16)*INPUT!$B$5:$AJ$35)</f>
        <v>0</v>
      </c>
    </row>
    <row r="17" spans="2:33" x14ac:dyDescent="0.35">
      <c r="B17" s="17" t="s">
        <v>5</v>
      </c>
      <c r="C17" s="28" cm="1">
        <f t="array" ref="C17">SUMPRODUCT((INPUT!$A$5:$A$35=Resume!C$15)*(_xlfn.SCAN("",INPUT!$B$3:$AJ$3,_xlfn.LAMBDA(_xlpm.a,_xlpm.b,IF(_xlpm.b="",_xlpm.a,_xlpm.b)))=Resume!$B17)*INPUT!$B$5:$AJ$35)</f>
        <v>25</v>
      </c>
      <c r="D17" s="28" cm="1">
        <f t="array" ref="D17">SUMPRODUCT((INPUT!$A$5:$A$35=Resume!D$15)*(_xlfn.SCAN("",INPUT!$B$3:$AJ$3,_xlfn.LAMBDA(_xlpm.a,_xlpm.b,IF(_xlpm.b="",_xlpm.a,_xlpm.b)))=Resume!$B17)*INPUT!$B$5:$AJ$35)</f>
        <v>21</v>
      </c>
      <c r="E17" s="28" cm="1">
        <f t="array" ref="E17">SUMPRODUCT((INPUT!$A$5:$A$35=Resume!E$15)*(_xlfn.SCAN("",INPUT!$B$3:$AJ$3,_xlfn.LAMBDA(_xlpm.a,_xlpm.b,IF(_xlpm.b="",_xlpm.a,_xlpm.b)))=Resume!$B17)*INPUT!$B$5:$AJ$35)</f>
        <v>13</v>
      </c>
      <c r="F17" s="28" cm="1">
        <f t="array" ref="F17">SUMPRODUCT((INPUT!$A$5:$A$35=Resume!F$15)*(_xlfn.SCAN("",INPUT!$B$3:$AJ$3,_xlfn.LAMBDA(_xlpm.a,_xlpm.b,IF(_xlpm.b="",_xlpm.a,_xlpm.b)))=Resume!$B17)*INPUT!$B$5:$AJ$35)</f>
        <v>21</v>
      </c>
      <c r="G17" s="28" cm="1">
        <f t="array" ref="G17">SUMPRODUCT((INPUT!$A$5:$A$35=Resume!G$15)*(_xlfn.SCAN("",INPUT!$B$3:$AJ$3,_xlfn.LAMBDA(_xlpm.a,_xlpm.b,IF(_xlpm.b="",_xlpm.a,_xlpm.b)))=Resume!$B17)*INPUT!$B$5:$AJ$35)</f>
        <v>18</v>
      </c>
      <c r="H17" s="28" cm="1">
        <f t="array" ref="H17">SUMPRODUCT((INPUT!$A$5:$A$35=Resume!H$15)*(_xlfn.SCAN("",INPUT!$B$3:$AJ$3,_xlfn.LAMBDA(_xlpm.a,_xlpm.b,IF(_xlpm.b="",_xlpm.a,_xlpm.b)))=Resume!$B17)*INPUT!$B$5:$AJ$35)</f>
        <v>21</v>
      </c>
      <c r="I17" s="28" cm="1">
        <f t="array" ref="I17">SUMPRODUCT((INPUT!$A$5:$A$35=Resume!I$15)*(_xlfn.SCAN("",INPUT!$B$3:$AJ$3,_xlfn.LAMBDA(_xlpm.a,_xlpm.b,IF(_xlpm.b="",_xlpm.a,_xlpm.b)))=Resume!$B17)*INPUT!$B$5:$AJ$35)</f>
        <v>14</v>
      </c>
      <c r="J17" s="28" cm="1">
        <f t="array" ref="J17">SUMPRODUCT((INPUT!$A$5:$A$35=Resume!J$15)*(_xlfn.SCAN("",INPUT!$B$3:$AJ$3,_xlfn.LAMBDA(_xlpm.a,_xlpm.b,IF(_xlpm.b="",_xlpm.a,_xlpm.b)))=Resume!$B17)*INPUT!$B$5:$AJ$35)</f>
        <v>25</v>
      </c>
      <c r="K17" s="28" cm="1">
        <f t="array" ref="K17">SUMPRODUCT((INPUT!$A$5:$A$35=Resume!K$15)*(_xlfn.SCAN("",INPUT!$B$3:$AJ$3,_xlfn.LAMBDA(_xlpm.a,_xlpm.b,IF(_xlpm.b="",_xlpm.a,_xlpm.b)))=Resume!$B17)*INPUT!$B$5:$AJ$35)</f>
        <v>23</v>
      </c>
      <c r="L17" s="28" cm="1">
        <f t="array" ref="L17">SUMPRODUCT((INPUT!$A$5:$A$35=Resume!L$15)*(_xlfn.SCAN("",INPUT!$B$3:$AJ$3,_xlfn.LAMBDA(_xlpm.a,_xlpm.b,IF(_xlpm.b="",_xlpm.a,_xlpm.b)))=Resume!$B17)*INPUT!$B$5:$AJ$35)</f>
        <v>20</v>
      </c>
      <c r="M17" s="28" cm="1">
        <f t="array" ref="M17">SUMPRODUCT((INPUT!$A$5:$A$35=Resume!M$15)*(_xlfn.SCAN("",INPUT!$B$3:$AJ$3,_xlfn.LAMBDA(_xlpm.a,_xlpm.b,IF(_xlpm.b="",_xlpm.a,_xlpm.b)))=Resume!$B17)*INPUT!$B$5:$AJ$35)</f>
        <v>0</v>
      </c>
      <c r="N17" s="28" cm="1">
        <f t="array" ref="N17">SUMPRODUCT((INPUT!$A$5:$A$35=Resume!N$15)*(_xlfn.SCAN("",INPUT!$B$3:$AJ$3,_xlfn.LAMBDA(_xlpm.a,_xlpm.b,IF(_xlpm.b="",_xlpm.a,_xlpm.b)))=Resume!$B17)*INPUT!$B$5:$AJ$35)</f>
        <v>0</v>
      </c>
      <c r="O17" s="28" cm="1">
        <f t="array" ref="O17">SUMPRODUCT((INPUT!$A$5:$A$35=Resume!O$15)*(_xlfn.SCAN("",INPUT!$B$3:$AJ$3,_xlfn.LAMBDA(_xlpm.a,_xlpm.b,IF(_xlpm.b="",_xlpm.a,_xlpm.b)))=Resume!$B17)*INPUT!$B$5:$AJ$35)</f>
        <v>0</v>
      </c>
      <c r="P17" s="28" cm="1">
        <f t="array" ref="P17">SUMPRODUCT((INPUT!$A$5:$A$35=Resume!P$15)*(_xlfn.SCAN("",INPUT!$B$3:$AJ$3,_xlfn.LAMBDA(_xlpm.a,_xlpm.b,IF(_xlpm.b="",_xlpm.a,_xlpm.b)))=Resume!$B17)*INPUT!$B$5:$AJ$35)</f>
        <v>0</v>
      </c>
      <c r="Q17" s="28" cm="1">
        <f t="array" ref="Q17">SUMPRODUCT((INPUT!$A$5:$A$35=Resume!Q$15)*(_xlfn.SCAN("",INPUT!$B$3:$AJ$3,_xlfn.LAMBDA(_xlpm.a,_xlpm.b,IF(_xlpm.b="",_xlpm.a,_xlpm.b)))=Resume!$B17)*INPUT!$B$5:$AJ$35)</f>
        <v>0</v>
      </c>
      <c r="R17" s="28" cm="1">
        <f t="array" ref="R17">SUMPRODUCT((INPUT!$A$5:$A$35=Resume!R$15)*(_xlfn.SCAN("",INPUT!$B$3:$AJ$3,_xlfn.LAMBDA(_xlpm.a,_xlpm.b,IF(_xlpm.b="",_xlpm.a,_xlpm.b)))=Resume!$B17)*INPUT!$B$5:$AJ$35)</f>
        <v>0</v>
      </c>
      <c r="S17" s="28" cm="1">
        <f t="array" ref="S17">SUMPRODUCT((INPUT!$A$5:$A$35=Resume!S$15)*(_xlfn.SCAN("",INPUT!$B$3:$AJ$3,_xlfn.LAMBDA(_xlpm.a,_xlpm.b,IF(_xlpm.b="",_xlpm.a,_xlpm.b)))=Resume!$B17)*INPUT!$B$5:$AJ$35)</f>
        <v>0</v>
      </c>
      <c r="T17" s="28" cm="1">
        <f t="array" ref="T17">SUMPRODUCT((INPUT!$A$5:$A$35=Resume!T$15)*(_xlfn.SCAN("",INPUT!$B$3:$AJ$3,_xlfn.LAMBDA(_xlpm.a,_xlpm.b,IF(_xlpm.b="",_xlpm.a,_xlpm.b)))=Resume!$B17)*INPUT!$B$5:$AJ$35)</f>
        <v>0</v>
      </c>
      <c r="U17" s="28" cm="1">
        <f t="array" ref="U17">SUMPRODUCT((INPUT!$A$5:$A$35=Resume!U$15)*(_xlfn.SCAN("",INPUT!$B$3:$AJ$3,_xlfn.LAMBDA(_xlpm.a,_xlpm.b,IF(_xlpm.b="",_xlpm.a,_xlpm.b)))=Resume!$B17)*INPUT!$B$5:$AJ$35)</f>
        <v>0</v>
      </c>
      <c r="V17" s="28" cm="1">
        <f t="array" ref="V17">SUMPRODUCT((INPUT!$A$5:$A$35=Resume!V$15)*(_xlfn.SCAN("",INPUT!$B$3:$AJ$3,_xlfn.LAMBDA(_xlpm.a,_xlpm.b,IF(_xlpm.b="",_xlpm.a,_xlpm.b)))=Resume!$B17)*INPUT!$B$5:$AJ$35)</f>
        <v>0</v>
      </c>
      <c r="W17" s="28" cm="1">
        <f t="array" ref="W17">SUMPRODUCT((INPUT!$A$5:$A$35=Resume!W$15)*(_xlfn.SCAN("",INPUT!$B$3:$AJ$3,_xlfn.LAMBDA(_xlpm.a,_xlpm.b,IF(_xlpm.b="",_xlpm.a,_xlpm.b)))=Resume!$B17)*INPUT!$B$5:$AJ$35)</f>
        <v>0</v>
      </c>
      <c r="X17" s="28" cm="1">
        <f t="array" ref="X17">SUMPRODUCT((INPUT!$A$5:$A$35=Resume!X$15)*(_xlfn.SCAN("",INPUT!$B$3:$AJ$3,_xlfn.LAMBDA(_xlpm.a,_xlpm.b,IF(_xlpm.b="",_xlpm.a,_xlpm.b)))=Resume!$B17)*INPUT!$B$5:$AJ$35)</f>
        <v>0</v>
      </c>
      <c r="Y17" s="28" cm="1">
        <f t="array" ref="Y17">SUMPRODUCT((INPUT!$A$5:$A$35=Resume!Y$15)*(_xlfn.SCAN("",INPUT!$B$3:$AJ$3,_xlfn.LAMBDA(_xlpm.a,_xlpm.b,IF(_xlpm.b="",_xlpm.a,_xlpm.b)))=Resume!$B17)*INPUT!$B$5:$AJ$35)</f>
        <v>0</v>
      </c>
      <c r="Z17" s="28" cm="1">
        <f t="array" ref="Z17">SUMPRODUCT((INPUT!$A$5:$A$35=Resume!Z$15)*(_xlfn.SCAN("",INPUT!$B$3:$AJ$3,_xlfn.LAMBDA(_xlpm.a,_xlpm.b,IF(_xlpm.b="",_xlpm.a,_xlpm.b)))=Resume!$B17)*INPUT!$B$5:$AJ$35)</f>
        <v>0</v>
      </c>
      <c r="AA17" s="28" cm="1">
        <f t="array" ref="AA17">SUMPRODUCT((INPUT!$A$5:$A$35=Resume!AA$15)*(_xlfn.SCAN("",INPUT!$B$3:$AJ$3,_xlfn.LAMBDA(_xlpm.a,_xlpm.b,IF(_xlpm.b="",_xlpm.a,_xlpm.b)))=Resume!$B17)*INPUT!$B$5:$AJ$35)</f>
        <v>0</v>
      </c>
      <c r="AB17" s="28" cm="1">
        <f t="array" ref="AB17">SUMPRODUCT((INPUT!$A$5:$A$35=Resume!AB$15)*(_xlfn.SCAN("",INPUT!$B$3:$AJ$3,_xlfn.LAMBDA(_xlpm.a,_xlpm.b,IF(_xlpm.b="",_xlpm.a,_xlpm.b)))=Resume!$B17)*INPUT!$B$5:$AJ$35)</f>
        <v>0</v>
      </c>
      <c r="AC17" s="28" cm="1">
        <f t="array" ref="AC17">SUMPRODUCT((INPUT!$A$5:$A$35=Resume!AC$15)*(_xlfn.SCAN("",INPUT!$B$3:$AJ$3,_xlfn.LAMBDA(_xlpm.a,_xlpm.b,IF(_xlpm.b="",_xlpm.a,_xlpm.b)))=Resume!$B17)*INPUT!$B$5:$AJ$35)</f>
        <v>0</v>
      </c>
      <c r="AD17" s="28" cm="1">
        <f t="array" ref="AD17">SUMPRODUCT((INPUT!$A$5:$A$35=Resume!AD$15)*(_xlfn.SCAN("",INPUT!$B$3:$AJ$3,_xlfn.LAMBDA(_xlpm.a,_xlpm.b,IF(_xlpm.b="",_xlpm.a,_xlpm.b)))=Resume!$B17)*INPUT!$B$5:$AJ$35)</f>
        <v>0</v>
      </c>
      <c r="AE17" s="28" cm="1">
        <f t="array" ref="AE17">SUMPRODUCT((INPUT!$A$5:$A$35=Resume!AE$15)*(_xlfn.SCAN("",INPUT!$B$3:$AJ$3,_xlfn.LAMBDA(_xlpm.a,_xlpm.b,IF(_xlpm.b="",_xlpm.a,_xlpm.b)))=Resume!$B17)*INPUT!$B$5:$AJ$35)</f>
        <v>0</v>
      </c>
      <c r="AF17" s="28" cm="1">
        <f t="array" ref="AF17">SUMPRODUCT((INPUT!$A$5:$A$35=Resume!AF$15)*(_xlfn.SCAN("",INPUT!$B$3:$AJ$3,_xlfn.LAMBDA(_xlpm.a,_xlpm.b,IF(_xlpm.b="",_xlpm.a,_xlpm.b)))=Resume!$B17)*INPUT!$B$5:$AJ$35)</f>
        <v>0</v>
      </c>
      <c r="AG17" s="28" cm="1">
        <f t="array" ref="AG17">SUMPRODUCT((INPUT!$A$5:$A$35=Resume!AG$15)*(_xlfn.SCAN("",INPUT!$B$3:$AJ$3,_xlfn.LAMBDA(_xlpm.a,_xlpm.b,IF(_xlpm.b="",_xlpm.a,_xlpm.b)))=Resume!$B17)*INPUT!$B$5:$AJ$35)</f>
        <v>0</v>
      </c>
    </row>
    <row r="18" spans="2:33" x14ac:dyDescent="0.35">
      <c r="B18" s="17" t="s">
        <v>1</v>
      </c>
      <c r="C18" s="28" cm="1">
        <f t="array" ref="C18">SUMPRODUCT((INPUT!$A$5:$A$35=Resume!C$15)*(_xlfn.SCAN("",INPUT!$B$3:$AJ$3,_xlfn.LAMBDA(_xlpm.a,_xlpm.b,IF(_xlpm.b="",_xlpm.a,_xlpm.b)))=Resume!$B18)*INPUT!$B$5:$AJ$35)</f>
        <v>16</v>
      </c>
      <c r="D18" s="28" cm="1">
        <f t="array" ref="D18">SUMPRODUCT((INPUT!$A$5:$A$35=Resume!D$15)*(_xlfn.SCAN("",INPUT!$B$3:$AJ$3,_xlfn.LAMBDA(_xlpm.a,_xlpm.b,IF(_xlpm.b="",_xlpm.a,_xlpm.b)))=Resume!$B18)*INPUT!$B$5:$AJ$35)</f>
        <v>15</v>
      </c>
      <c r="E18" s="28" cm="1">
        <f t="array" ref="E18">SUMPRODUCT((INPUT!$A$5:$A$35=Resume!E$15)*(_xlfn.SCAN("",INPUT!$B$3:$AJ$3,_xlfn.LAMBDA(_xlpm.a,_xlpm.b,IF(_xlpm.b="",_xlpm.a,_xlpm.b)))=Resume!$B18)*INPUT!$B$5:$AJ$35)</f>
        <v>15</v>
      </c>
      <c r="F18" s="28" cm="1">
        <f t="array" ref="F18">SUMPRODUCT((INPUT!$A$5:$A$35=Resume!F$15)*(_xlfn.SCAN("",INPUT!$B$3:$AJ$3,_xlfn.LAMBDA(_xlpm.a,_xlpm.b,IF(_xlpm.b="",_xlpm.a,_xlpm.b)))=Resume!$B18)*INPUT!$B$5:$AJ$35)</f>
        <v>15</v>
      </c>
      <c r="G18" s="28" cm="1">
        <f t="array" ref="G18">SUMPRODUCT((INPUT!$A$5:$A$35=Resume!G$15)*(_xlfn.SCAN("",INPUT!$B$3:$AJ$3,_xlfn.LAMBDA(_xlpm.a,_xlpm.b,IF(_xlpm.b="",_xlpm.a,_xlpm.b)))=Resume!$B18)*INPUT!$B$5:$AJ$35)</f>
        <v>16</v>
      </c>
      <c r="H18" s="28" cm="1">
        <f t="array" ref="H18">SUMPRODUCT((INPUT!$A$5:$A$35=Resume!H$15)*(_xlfn.SCAN("",INPUT!$B$3:$AJ$3,_xlfn.LAMBDA(_xlpm.a,_xlpm.b,IF(_xlpm.b="",_xlpm.a,_xlpm.b)))=Resume!$B18)*INPUT!$B$5:$AJ$35)</f>
        <v>21</v>
      </c>
      <c r="I18" s="28" cm="1">
        <f t="array" ref="I18">SUMPRODUCT((INPUT!$A$5:$A$35=Resume!I$15)*(_xlfn.SCAN("",INPUT!$B$3:$AJ$3,_xlfn.LAMBDA(_xlpm.a,_xlpm.b,IF(_xlpm.b="",_xlpm.a,_xlpm.b)))=Resume!$B18)*INPUT!$B$5:$AJ$35)</f>
        <v>15</v>
      </c>
      <c r="J18" s="28" cm="1">
        <f t="array" ref="J18">SUMPRODUCT((INPUT!$A$5:$A$35=Resume!J$15)*(_xlfn.SCAN("",INPUT!$B$3:$AJ$3,_xlfn.LAMBDA(_xlpm.a,_xlpm.b,IF(_xlpm.b="",_xlpm.a,_xlpm.b)))=Resume!$B18)*INPUT!$B$5:$AJ$35)</f>
        <v>17</v>
      </c>
      <c r="K18" s="28" cm="1">
        <f t="array" ref="K18">SUMPRODUCT((INPUT!$A$5:$A$35=Resume!K$15)*(_xlfn.SCAN("",INPUT!$B$3:$AJ$3,_xlfn.LAMBDA(_xlpm.a,_xlpm.b,IF(_xlpm.b="",_xlpm.a,_xlpm.b)))=Resume!$B18)*INPUT!$B$5:$AJ$35)</f>
        <v>20</v>
      </c>
      <c r="L18" s="28" cm="1">
        <f t="array" ref="L18">SUMPRODUCT((INPUT!$A$5:$A$35=Resume!L$15)*(_xlfn.SCAN("",INPUT!$B$3:$AJ$3,_xlfn.LAMBDA(_xlpm.a,_xlpm.b,IF(_xlpm.b="",_xlpm.a,_xlpm.b)))=Resume!$B18)*INPUT!$B$5:$AJ$35)</f>
        <v>15</v>
      </c>
      <c r="M18" s="28" cm="1">
        <f t="array" ref="M18">SUMPRODUCT((INPUT!$A$5:$A$35=Resume!M$15)*(_xlfn.SCAN("",INPUT!$B$3:$AJ$3,_xlfn.LAMBDA(_xlpm.a,_xlpm.b,IF(_xlpm.b="",_xlpm.a,_xlpm.b)))=Resume!$B18)*INPUT!$B$5:$AJ$35)</f>
        <v>0</v>
      </c>
      <c r="N18" s="28" cm="1">
        <f t="array" ref="N18">SUMPRODUCT((INPUT!$A$5:$A$35=Resume!N$15)*(_xlfn.SCAN("",INPUT!$B$3:$AJ$3,_xlfn.LAMBDA(_xlpm.a,_xlpm.b,IF(_xlpm.b="",_xlpm.a,_xlpm.b)))=Resume!$B18)*INPUT!$B$5:$AJ$35)</f>
        <v>0</v>
      </c>
      <c r="O18" s="28" cm="1">
        <f t="array" ref="O18">SUMPRODUCT((INPUT!$A$5:$A$35=Resume!O$15)*(_xlfn.SCAN("",INPUT!$B$3:$AJ$3,_xlfn.LAMBDA(_xlpm.a,_xlpm.b,IF(_xlpm.b="",_xlpm.a,_xlpm.b)))=Resume!$B18)*INPUT!$B$5:$AJ$35)</f>
        <v>0</v>
      </c>
      <c r="P18" s="28" cm="1">
        <f t="array" ref="P18">SUMPRODUCT((INPUT!$A$5:$A$35=Resume!P$15)*(_xlfn.SCAN("",INPUT!$B$3:$AJ$3,_xlfn.LAMBDA(_xlpm.a,_xlpm.b,IF(_xlpm.b="",_xlpm.a,_xlpm.b)))=Resume!$B18)*INPUT!$B$5:$AJ$35)</f>
        <v>0</v>
      </c>
      <c r="Q18" s="28" cm="1">
        <f t="array" ref="Q18">SUMPRODUCT((INPUT!$A$5:$A$35=Resume!Q$15)*(_xlfn.SCAN("",INPUT!$B$3:$AJ$3,_xlfn.LAMBDA(_xlpm.a,_xlpm.b,IF(_xlpm.b="",_xlpm.a,_xlpm.b)))=Resume!$B18)*INPUT!$B$5:$AJ$35)</f>
        <v>0</v>
      </c>
      <c r="R18" s="28" cm="1">
        <f t="array" ref="R18">SUMPRODUCT((INPUT!$A$5:$A$35=Resume!R$15)*(_xlfn.SCAN("",INPUT!$B$3:$AJ$3,_xlfn.LAMBDA(_xlpm.a,_xlpm.b,IF(_xlpm.b="",_xlpm.a,_xlpm.b)))=Resume!$B18)*INPUT!$B$5:$AJ$35)</f>
        <v>0</v>
      </c>
      <c r="S18" s="28" cm="1">
        <f t="array" ref="S18">SUMPRODUCT((INPUT!$A$5:$A$35=Resume!S$15)*(_xlfn.SCAN("",INPUT!$B$3:$AJ$3,_xlfn.LAMBDA(_xlpm.a,_xlpm.b,IF(_xlpm.b="",_xlpm.a,_xlpm.b)))=Resume!$B18)*INPUT!$B$5:$AJ$35)</f>
        <v>0</v>
      </c>
      <c r="T18" s="28" cm="1">
        <f t="array" ref="T18">SUMPRODUCT((INPUT!$A$5:$A$35=Resume!T$15)*(_xlfn.SCAN("",INPUT!$B$3:$AJ$3,_xlfn.LAMBDA(_xlpm.a,_xlpm.b,IF(_xlpm.b="",_xlpm.a,_xlpm.b)))=Resume!$B18)*INPUT!$B$5:$AJ$35)</f>
        <v>0</v>
      </c>
      <c r="U18" s="28" cm="1">
        <f t="array" ref="U18">SUMPRODUCT((INPUT!$A$5:$A$35=Resume!U$15)*(_xlfn.SCAN("",INPUT!$B$3:$AJ$3,_xlfn.LAMBDA(_xlpm.a,_xlpm.b,IF(_xlpm.b="",_xlpm.a,_xlpm.b)))=Resume!$B18)*INPUT!$B$5:$AJ$35)</f>
        <v>0</v>
      </c>
      <c r="V18" s="28" cm="1">
        <f t="array" ref="V18">SUMPRODUCT((INPUT!$A$5:$A$35=Resume!V$15)*(_xlfn.SCAN("",INPUT!$B$3:$AJ$3,_xlfn.LAMBDA(_xlpm.a,_xlpm.b,IF(_xlpm.b="",_xlpm.a,_xlpm.b)))=Resume!$B18)*INPUT!$B$5:$AJ$35)</f>
        <v>0</v>
      </c>
      <c r="W18" s="28" cm="1">
        <f t="array" ref="W18">SUMPRODUCT((INPUT!$A$5:$A$35=Resume!W$15)*(_xlfn.SCAN("",INPUT!$B$3:$AJ$3,_xlfn.LAMBDA(_xlpm.a,_xlpm.b,IF(_xlpm.b="",_xlpm.a,_xlpm.b)))=Resume!$B18)*INPUT!$B$5:$AJ$35)</f>
        <v>0</v>
      </c>
      <c r="X18" s="28" cm="1">
        <f t="array" ref="X18">SUMPRODUCT((INPUT!$A$5:$A$35=Resume!X$15)*(_xlfn.SCAN("",INPUT!$B$3:$AJ$3,_xlfn.LAMBDA(_xlpm.a,_xlpm.b,IF(_xlpm.b="",_xlpm.a,_xlpm.b)))=Resume!$B18)*INPUT!$B$5:$AJ$35)</f>
        <v>0</v>
      </c>
      <c r="Y18" s="28" cm="1">
        <f t="array" ref="Y18">SUMPRODUCT((INPUT!$A$5:$A$35=Resume!Y$15)*(_xlfn.SCAN("",INPUT!$B$3:$AJ$3,_xlfn.LAMBDA(_xlpm.a,_xlpm.b,IF(_xlpm.b="",_xlpm.a,_xlpm.b)))=Resume!$B18)*INPUT!$B$5:$AJ$35)</f>
        <v>0</v>
      </c>
      <c r="Z18" s="28" cm="1">
        <f t="array" ref="Z18">SUMPRODUCT((INPUT!$A$5:$A$35=Resume!Z$15)*(_xlfn.SCAN("",INPUT!$B$3:$AJ$3,_xlfn.LAMBDA(_xlpm.a,_xlpm.b,IF(_xlpm.b="",_xlpm.a,_xlpm.b)))=Resume!$B18)*INPUT!$B$5:$AJ$35)</f>
        <v>0</v>
      </c>
      <c r="AA18" s="28" cm="1">
        <f t="array" ref="AA18">SUMPRODUCT((INPUT!$A$5:$A$35=Resume!AA$15)*(_xlfn.SCAN("",INPUT!$B$3:$AJ$3,_xlfn.LAMBDA(_xlpm.a,_xlpm.b,IF(_xlpm.b="",_xlpm.a,_xlpm.b)))=Resume!$B18)*INPUT!$B$5:$AJ$35)</f>
        <v>0</v>
      </c>
      <c r="AB18" s="28" cm="1">
        <f t="array" ref="AB18">SUMPRODUCT((INPUT!$A$5:$A$35=Resume!AB$15)*(_xlfn.SCAN("",INPUT!$B$3:$AJ$3,_xlfn.LAMBDA(_xlpm.a,_xlpm.b,IF(_xlpm.b="",_xlpm.a,_xlpm.b)))=Resume!$B18)*INPUT!$B$5:$AJ$35)</f>
        <v>0</v>
      </c>
      <c r="AC18" s="28" cm="1">
        <f t="array" ref="AC18">SUMPRODUCT((INPUT!$A$5:$A$35=Resume!AC$15)*(_xlfn.SCAN("",INPUT!$B$3:$AJ$3,_xlfn.LAMBDA(_xlpm.a,_xlpm.b,IF(_xlpm.b="",_xlpm.a,_xlpm.b)))=Resume!$B18)*INPUT!$B$5:$AJ$35)</f>
        <v>0</v>
      </c>
      <c r="AD18" s="28" cm="1">
        <f t="array" ref="AD18">SUMPRODUCT((INPUT!$A$5:$A$35=Resume!AD$15)*(_xlfn.SCAN("",INPUT!$B$3:$AJ$3,_xlfn.LAMBDA(_xlpm.a,_xlpm.b,IF(_xlpm.b="",_xlpm.a,_xlpm.b)))=Resume!$B18)*INPUT!$B$5:$AJ$35)</f>
        <v>0</v>
      </c>
      <c r="AE18" s="28" cm="1">
        <f t="array" ref="AE18">SUMPRODUCT((INPUT!$A$5:$A$35=Resume!AE$15)*(_xlfn.SCAN("",INPUT!$B$3:$AJ$3,_xlfn.LAMBDA(_xlpm.a,_xlpm.b,IF(_xlpm.b="",_xlpm.a,_xlpm.b)))=Resume!$B18)*INPUT!$B$5:$AJ$35)</f>
        <v>0</v>
      </c>
      <c r="AF18" s="28" cm="1">
        <f t="array" ref="AF18">SUMPRODUCT((INPUT!$A$5:$A$35=Resume!AF$15)*(_xlfn.SCAN("",INPUT!$B$3:$AJ$3,_xlfn.LAMBDA(_xlpm.a,_xlpm.b,IF(_xlpm.b="",_xlpm.a,_xlpm.b)))=Resume!$B18)*INPUT!$B$5:$AJ$35)</f>
        <v>0</v>
      </c>
      <c r="AG18" s="28" cm="1">
        <f t="array" ref="AG18">SUMPRODUCT((INPUT!$A$5:$A$35=Resume!AG$15)*(_xlfn.SCAN("",INPUT!$B$3:$AJ$3,_xlfn.LAMBDA(_xlpm.a,_xlpm.b,IF(_xlpm.b="",_xlpm.a,_xlpm.b)))=Resume!$B18)*INPUT!$B$5:$AJ$35)</f>
        <v>0</v>
      </c>
    </row>
    <row r="19" spans="2:33" x14ac:dyDescent="0.35">
      <c r="B19" s="17" t="s">
        <v>2</v>
      </c>
      <c r="C19" s="28" cm="1">
        <f t="array" ref="C19">SUMPRODUCT((INPUT!$A$5:$A$35=Resume!C$15)*(_xlfn.SCAN("",INPUT!$B$3:$AJ$3,_xlfn.LAMBDA(_xlpm.a,_xlpm.b,IF(_xlpm.b="",_xlpm.a,_xlpm.b)))=Resume!$B19)*INPUT!$B$5:$AJ$35)</f>
        <v>24</v>
      </c>
      <c r="D19" s="28" cm="1">
        <f t="array" ref="D19">SUMPRODUCT((INPUT!$A$5:$A$35=Resume!D$15)*(_xlfn.SCAN("",INPUT!$B$3:$AJ$3,_xlfn.LAMBDA(_xlpm.a,_xlpm.b,IF(_xlpm.b="",_xlpm.a,_xlpm.b)))=Resume!$B19)*INPUT!$B$5:$AJ$35)</f>
        <v>25</v>
      </c>
      <c r="E19" s="28" cm="1">
        <f t="array" ref="E19">SUMPRODUCT((INPUT!$A$5:$A$35=Resume!E$15)*(_xlfn.SCAN("",INPUT!$B$3:$AJ$3,_xlfn.LAMBDA(_xlpm.a,_xlpm.b,IF(_xlpm.b="",_xlpm.a,_xlpm.b)))=Resume!$B19)*INPUT!$B$5:$AJ$35)</f>
        <v>25</v>
      </c>
      <c r="F19" s="28" cm="1">
        <f t="array" ref="F19">SUMPRODUCT((INPUT!$A$5:$A$35=Resume!F$15)*(_xlfn.SCAN("",INPUT!$B$3:$AJ$3,_xlfn.LAMBDA(_xlpm.a,_xlpm.b,IF(_xlpm.b="",_xlpm.a,_xlpm.b)))=Resume!$B19)*INPUT!$B$5:$AJ$35)</f>
        <v>25</v>
      </c>
      <c r="G19" s="28" cm="1">
        <f t="array" ref="G19">SUMPRODUCT((INPUT!$A$5:$A$35=Resume!G$15)*(_xlfn.SCAN("",INPUT!$B$3:$AJ$3,_xlfn.LAMBDA(_xlpm.a,_xlpm.b,IF(_xlpm.b="",_xlpm.a,_xlpm.b)))=Resume!$B19)*INPUT!$B$5:$AJ$35)</f>
        <v>20</v>
      </c>
      <c r="H19" s="28" cm="1">
        <f t="array" ref="H19">SUMPRODUCT((INPUT!$A$5:$A$35=Resume!H$15)*(_xlfn.SCAN("",INPUT!$B$3:$AJ$3,_xlfn.LAMBDA(_xlpm.a,_xlpm.b,IF(_xlpm.b="",_xlpm.a,_xlpm.b)))=Resume!$B19)*INPUT!$B$5:$AJ$35)</f>
        <v>13</v>
      </c>
      <c r="I19" s="28" cm="1">
        <f t="array" ref="I19">SUMPRODUCT((INPUT!$A$5:$A$35=Resume!I$15)*(_xlfn.SCAN("",INPUT!$B$3:$AJ$3,_xlfn.LAMBDA(_xlpm.a,_xlpm.b,IF(_xlpm.b="",_xlpm.a,_xlpm.b)))=Resume!$B19)*INPUT!$B$5:$AJ$35)</f>
        <v>25</v>
      </c>
      <c r="J19" s="28" cm="1">
        <f t="array" ref="J19">SUMPRODUCT((INPUT!$A$5:$A$35=Resume!J$15)*(_xlfn.SCAN("",INPUT!$B$3:$AJ$3,_xlfn.LAMBDA(_xlpm.a,_xlpm.b,IF(_xlpm.b="",_xlpm.a,_xlpm.b)))=Resume!$B19)*INPUT!$B$5:$AJ$35)</f>
        <v>10</v>
      </c>
      <c r="K19" s="28" cm="1">
        <f t="array" ref="K19">SUMPRODUCT((INPUT!$A$5:$A$35=Resume!K$15)*(_xlfn.SCAN("",INPUT!$B$3:$AJ$3,_xlfn.LAMBDA(_xlpm.a,_xlpm.b,IF(_xlpm.b="",_xlpm.a,_xlpm.b)))=Resume!$B19)*INPUT!$B$5:$AJ$35)</f>
        <v>20</v>
      </c>
      <c r="L19" s="28" cm="1">
        <f t="array" ref="L19">SUMPRODUCT((INPUT!$A$5:$A$35=Resume!L$15)*(_xlfn.SCAN("",INPUT!$B$3:$AJ$3,_xlfn.LAMBDA(_xlpm.a,_xlpm.b,IF(_xlpm.b="",_xlpm.a,_xlpm.b)))=Resume!$B19)*INPUT!$B$5:$AJ$35)</f>
        <v>17</v>
      </c>
      <c r="M19" s="28" cm="1">
        <f t="array" ref="M19">SUMPRODUCT((INPUT!$A$5:$A$35=Resume!M$15)*(_xlfn.SCAN("",INPUT!$B$3:$AJ$3,_xlfn.LAMBDA(_xlpm.a,_xlpm.b,IF(_xlpm.b="",_xlpm.a,_xlpm.b)))=Resume!$B19)*INPUT!$B$5:$AJ$35)</f>
        <v>0</v>
      </c>
      <c r="N19" s="28" cm="1">
        <f t="array" ref="N19">SUMPRODUCT((INPUT!$A$5:$A$35=Resume!N$15)*(_xlfn.SCAN("",INPUT!$B$3:$AJ$3,_xlfn.LAMBDA(_xlpm.a,_xlpm.b,IF(_xlpm.b="",_xlpm.a,_xlpm.b)))=Resume!$B19)*INPUT!$B$5:$AJ$35)</f>
        <v>0</v>
      </c>
      <c r="O19" s="28" cm="1">
        <f t="array" ref="O19">SUMPRODUCT((INPUT!$A$5:$A$35=Resume!O$15)*(_xlfn.SCAN("",INPUT!$B$3:$AJ$3,_xlfn.LAMBDA(_xlpm.a,_xlpm.b,IF(_xlpm.b="",_xlpm.a,_xlpm.b)))=Resume!$B19)*INPUT!$B$5:$AJ$35)</f>
        <v>0</v>
      </c>
      <c r="P19" s="28" cm="1">
        <f t="array" ref="P19">SUMPRODUCT((INPUT!$A$5:$A$35=Resume!P$15)*(_xlfn.SCAN("",INPUT!$B$3:$AJ$3,_xlfn.LAMBDA(_xlpm.a,_xlpm.b,IF(_xlpm.b="",_xlpm.a,_xlpm.b)))=Resume!$B19)*INPUT!$B$5:$AJ$35)</f>
        <v>0</v>
      </c>
      <c r="Q19" s="28" cm="1">
        <f t="array" ref="Q19">SUMPRODUCT((INPUT!$A$5:$A$35=Resume!Q$15)*(_xlfn.SCAN("",INPUT!$B$3:$AJ$3,_xlfn.LAMBDA(_xlpm.a,_xlpm.b,IF(_xlpm.b="",_xlpm.a,_xlpm.b)))=Resume!$B19)*INPUT!$B$5:$AJ$35)</f>
        <v>0</v>
      </c>
      <c r="R19" s="28" cm="1">
        <f t="array" ref="R19">SUMPRODUCT((INPUT!$A$5:$A$35=Resume!R$15)*(_xlfn.SCAN("",INPUT!$B$3:$AJ$3,_xlfn.LAMBDA(_xlpm.a,_xlpm.b,IF(_xlpm.b="",_xlpm.a,_xlpm.b)))=Resume!$B19)*INPUT!$B$5:$AJ$35)</f>
        <v>0</v>
      </c>
      <c r="S19" s="28" cm="1">
        <f t="array" ref="S19">SUMPRODUCT((INPUT!$A$5:$A$35=Resume!S$15)*(_xlfn.SCAN("",INPUT!$B$3:$AJ$3,_xlfn.LAMBDA(_xlpm.a,_xlpm.b,IF(_xlpm.b="",_xlpm.a,_xlpm.b)))=Resume!$B19)*INPUT!$B$5:$AJ$35)</f>
        <v>0</v>
      </c>
      <c r="T19" s="28" cm="1">
        <f t="array" ref="T19">SUMPRODUCT((INPUT!$A$5:$A$35=Resume!T$15)*(_xlfn.SCAN("",INPUT!$B$3:$AJ$3,_xlfn.LAMBDA(_xlpm.a,_xlpm.b,IF(_xlpm.b="",_xlpm.a,_xlpm.b)))=Resume!$B19)*INPUT!$B$5:$AJ$35)</f>
        <v>0</v>
      </c>
      <c r="U19" s="28" cm="1">
        <f t="array" ref="U19">SUMPRODUCT((INPUT!$A$5:$A$35=Resume!U$15)*(_xlfn.SCAN("",INPUT!$B$3:$AJ$3,_xlfn.LAMBDA(_xlpm.a,_xlpm.b,IF(_xlpm.b="",_xlpm.a,_xlpm.b)))=Resume!$B19)*INPUT!$B$5:$AJ$35)</f>
        <v>0</v>
      </c>
      <c r="V19" s="28" cm="1">
        <f t="array" ref="V19">SUMPRODUCT((INPUT!$A$5:$A$35=Resume!V$15)*(_xlfn.SCAN("",INPUT!$B$3:$AJ$3,_xlfn.LAMBDA(_xlpm.a,_xlpm.b,IF(_xlpm.b="",_xlpm.a,_xlpm.b)))=Resume!$B19)*INPUT!$B$5:$AJ$35)</f>
        <v>0</v>
      </c>
      <c r="W19" s="28" cm="1">
        <f t="array" ref="W19">SUMPRODUCT((INPUT!$A$5:$A$35=Resume!W$15)*(_xlfn.SCAN("",INPUT!$B$3:$AJ$3,_xlfn.LAMBDA(_xlpm.a,_xlpm.b,IF(_xlpm.b="",_xlpm.a,_xlpm.b)))=Resume!$B19)*INPUT!$B$5:$AJ$35)</f>
        <v>0</v>
      </c>
      <c r="X19" s="28" cm="1">
        <f t="array" ref="X19">SUMPRODUCT((INPUT!$A$5:$A$35=Resume!X$15)*(_xlfn.SCAN("",INPUT!$B$3:$AJ$3,_xlfn.LAMBDA(_xlpm.a,_xlpm.b,IF(_xlpm.b="",_xlpm.a,_xlpm.b)))=Resume!$B19)*INPUT!$B$5:$AJ$35)</f>
        <v>0</v>
      </c>
      <c r="Y19" s="28" cm="1">
        <f t="array" ref="Y19">SUMPRODUCT((INPUT!$A$5:$A$35=Resume!Y$15)*(_xlfn.SCAN("",INPUT!$B$3:$AJ$3,_xlfn.LAMBDA(_xlpm.a,_xlpm.b,IF(_xlpm.b="",_xlpm.a,_xlpm.b)))=Resume!$B19)*INPUT!$B$5:$AJ$35)</f>
        <v>0</v>
      </c>
      <c r="Z19" s="28" cm="1">
        <f t="array" ref="Z19">SUMPRODUCT((INPUT!$A$5:$A$35=Resume!Z$15)*(_xlfn.SCAN("",INPUT!$B$3:$AJ$3,_xlfn.LAMBDA(_xlpm.a,_xlpm.b,IF(_xlpm.b="",_xlpm.a,_xlpm.b)))=Resume!$B19)*INPUT!$B$5:$AJ$35)</f>
        <v>0</v>
      </c>
      <c r="AA19" s="28" cm="1">
        <f t="array" ref="AA19">SUMPRODUCT((INPUT!$A$5:$A$35=Resume!AA$15)*(_xlfn.SCAN("",INPUT!$B$3:$AJ$3,_xlfn.LAMBDA(_xlpm.a,_xlpm.b,IF(_xlpm.b="",_xlpm.a,_xlpm.b)))=Resume!$B19)*INPUT!$B$5:$AJ$35)</f>
        <v>0</v>
      </c>
      <c r="AB19" s="28" cm="1">
        <f t="array" ref="AB19">SUMPRODUCT((INPUT!$A$5:$A$35=Resume!AB$15)*(_xlfn.SCAN("",INPUT!$B$3:$AJ$3,_xlfn.LAMBDA(_xlpm.a,_xlpm.b,IF(_xlpm.b="",_xlpm.a,_xlpm.b)))=Resume!$B19)*INPUT!$B$5:$AJ$35)</f>
        <v>0</v>
      </c>
      <c r="AC19" s="28" cm="1">
        <f t="array" ref="AC19">SUMPRODUCT((INPUT!$A$5:$A$35=Resume!AC$15)*(_xlfn.SCAN("",INPUT!$B$3:$AJ$3,_xlfn.LAMBDA(_xlpm.a,_xlpm.b,IF(_xlpm.b="",_xlpm.a,_xlpm.b)))=Resume!$B19)*INPUT!$B$5:$AJ$35)</f>
        <v>0</v>
      </c>
      <c r="AD19" s="28" cm="1">
        <f t="array" ref="AD19">SUMPRODUCT((INPUT!$A$5:$A$35=Resume!AD$15)*(_xlfn.SCAN("",INPUT!$B$3:$AJ$3,_xlfn.LAMBDA(_xlpm.a,_xlpm.b,IF(_xlpm.b="",_xlpm.a,_xlpm.b)))=Resume!$B19)*INPUT!$B$5:$AJ$35)</f>
        <v>0</v>
      </c>
      <c r="AE19" s="28" cm="1">
        <f t="array" ref="AE19">SUMPRODUCT((INPUT!$A$5:$A$35=Resume!AE$15)*(_xlfn.SCAN("",INPUT!$B$3:$AJ$3,_xlfn.LAMBDA(_xlpm.a,_xlpm.b,IF(_xlpm.b="",_xlpm.a,_xlpm.b)))=Resume!$B19)*INPUT!$B$5:$AJ$35)</f>
        <v>0</v>
      </c>
      <c r="AF19" s="28" cm="1">
        <f t="array" ref="AF19">SUMPRODUCT((INPUT!$A$5:$A$35=Resume!AF$15)*(_xlfn.SCAN("",INPUT!$B$3:$AJ$3,_xlfn.LAMBDA(_xlpm.a,_xlpm.b,IF(_xlpm.b="",_xlpm.a,_xlpm.b)))=Resume!$B19)*INPUT!$B$5:$AJ$35)</f>
        <v>0</v>
      </c>
      <c r="AG19" s="28" cm="1">
        <f t="array" ref="AG19">SUMPRODUCT((INPUT!$A$5:$A$35=Resume!AG$15)*(_xlfn.SCAN("",INPUT!$B$3:$AJ$3,_xlfn.LAMBDA(_xlpm.a,_xlpm.b,IF(_xlpm.b="",_xlpm.a,_xlpm.b)))=Resume!$B19)*INPUT!$B$5:$AJ$35)</f>
        <v>0</v>
      </c>
    </row>
    <row r="20" spans="2:33" x14ac:dyDescent="0.35">
      <c r="B20" s="17" t="s">
        <v>3</v>
      </c>
      <c r="C20" s="28" cm="1">
        <f t="array" ref="C20">SUMPRODUCT((INPUT!$A$5:$A$35=Resume!C$15)*(_xlfn.SCAN("",INPUT!$B$3:$AJ$3,_xlfn.LAMBDA(_xlpm.a,_xlpm.b,IF(_xlpm.b="",_xlpm.a,_xlpm.b)))=Resume!$B20)*INPUT!$B$5:$AJ$35)</f>
        <v>16</v>
      </c>
      <c r="D20" s="28" cm="1">
        <f t="array" ref="D20">SUMPRODUCT((INPUT!$A$5:$A$35=Resume!D$15)*(_xlfn.SCAN("",INPUT!$B$3:$AJ$3,_xlfn.LAMBDA(_xlpm.a,_xlpm.b,IF(_xlpm.b="",_xlpm.a,_xlpm.b)))=Resume!$B20)*INPUT!$B$5:$AJ$35)</f>
        <v>20</v>
      </c>
      <c r="E20" s="28" cm="1">
        <f t="array" ref="E20">SUMPRODUCT((INPUT!$A$5:$A$35=Resume!E$15)*(_xlfn.SCAN("",INPUT!$B$3:$AJ$3,_xlfn.LAMBDA(_xlpm.a,_xlpm.b,IF(_xlpm.b="",_xlpm.a,_xlpm.b)))=Resume!$B20)*INPUT!$B$5:$AJ$35)</f>
        <v>12</v>
      </c>
      <c r="F20" s="28" cm="1">
        <f t="array" ref="F20">SUMPRODUCT((INPUT!$A$5:$A$35=Resume!F$15)*(_xlfn.SCAN("",INPUT!$B$3:$AJ$3,_xlfn.LAMBDA(_xlpm.a,_xlpm.b,IF(_xlpm.b="",_xlpm.a,_xlpm.b)))=Resume!$B20)*INPUT!$B$5:$AJ$35)</f>
        <v>20</v>
      </c>
      <c r="G20" s="28" cm="1">
        <f t="array" ref="G20">SUMPRODUCT((INPUT!$A$5:$A$35=Resume!G$15)*(_xlfn.SCAN("",INPUT!$B$3:$AJ$3,_xlfn.LAMBDA(_xlpm.a,_xlpm.b,IF(_xlpm.b="",_xlpm.a,_xlpm.b)))=Resume!$B20)*INPUT!$B$5:$AJ$35)</f>
        <v>13</v>
      </c>
      <c r="H20" s="28" cm="1">
        <f t="array" ref="H20">SUMPRODUCT((INPUT!$A$5:$A$35=Resume!H$15)*(_xlfn.SCAN("",INPUT!$B$3:$AJ$3,_xlfn.LAMBDA(_xlpm.a,_xlpm.b,IF(_xlpm.b="",_xlpm.a,_xlpm.b)))=Resume!$B20)*INPUT!$B$5:$AJ$35)</f>
        <v>7</v>
      </c>
      <c r="I20" s="28" cm="1">
        <f t="array" ref="I20">SUMPRODUCT((INPUT!$A$5:$A$35=Resume!I$15)*(_xlfn.SCAN("",INPUT!$B$3:$AJ$3,_xlfn.LAMBDA(_xlpm.a,_xlpm.b,IF(_xlpm.b="",_xlpm.a,_xlpm.b)))=Resume!$B20)*INPUT!$B$5:$AJ$35)</f>
        <v>12</v>
      </c>
      <c r="J20" s="28" cm="1">
        <f t="array" ref="J20">SUMPRODUCT((INPUT!$A$5:$A$35=Resume!J$15)*(_xlfn.SCAN("",INPUT!$B$3:$AJ$3,_xlfn.LAMBDA(_xlpm.a,_xlpm.b,IF(_xlpm.b="",_xlpm.a,_xlpm.b)))=Resume!$B20)*INPUT!$B$5:$AJ$35)</f>
        <v>14</v>
      </c>
      <c r="K20" s="28" cm="1">
        <f t="array" ref="K20">SUMPRODUCT((INPUT!$A$5:$A$35=Resume!K$15)*(_xlfn.SCAN("",INPUT!$B$3:$AJ$3,_xlfn.LAMBDA(_xlpm.a,_xlpm.b,IF(_xlpm.b="",_xlpm.a,_xlpm.b)))=Resume!$B20)*INPUT!$B$5:$AJ$35)</f>
        <v>13</v>
      </c>
      <c r="L20" s="28" cm="1">
        <f t="array" ref="L20">SUMPRODUCT((INPUT!$A$5:$A$35=Resume!L$15)*(_xlfn.SCAN("",INPUT!$B$3:$AJ$3,_xlfn.LAMBDA(_xlpm.a,_xlpm.b,IF(_xlpm.b="",_xlpm.a,_xlpm.b)))=Resume!$B20)*INPUT!$B$5:$AJ$35)</f>
        <v>14</v>
      </c>
      <c r="M20" s="28" cm="1">
        <f t="array" ref="M20">SUMPRODUCT((INPUT!$A$5:$A$35=Resume!M$15)*(_xlfn.SCAN("",INPUT!$B$3:$AJ$3,_xlfn.LAMBDA(_xlpm.a,_xlpm.b,IF(_xlpm.b="",_xlpm.a,_xlpm.b)))=Resume!$B20)*INPUT!$B$5:$AJ$35)</f>
        <v>0</v>
      </c>
      <c r="N20" s="28" cm="1">
        <f t="array" ref="N20">SUMPRODUCT((INPUT!$A$5:$A$35=Resume!N$15)*(_xlfn.SCAN("",INPUT!$B$3:$AJ$3,_xlfn.LAMBDA(_xlpm.a,_xlpm.b,IF(_xlpm.b="",_xlpm.a,_xlpm.b)))=Resume!$B20)*INPUT!$B$5:$AJ$35)</f>
        <v>0</v>
      </c>
      <c r="O20" s="28" cm="1">
        <f t="array" ref="O20">SUMPRODUCT((INPUT!$A$5:$A$35=Resume!O$15)*(_xlfn.SCAN("",INPUT!$B$3:$AJ$3,_xlfn.LAMBDA(_xlpm.a,_xlpm.b,IF(_xlpm.b="",_xlpm.a,_xlpm.b)))=Resume!$B20)*INPUT!$B$5:$AJ$35)</f>
        <v>0</v>
      </c>
      <c r="P20" s="28" cm="1">
        <f t="array" ref="P20">SUMPRODUCT((INPUT!$A$5:$A$35=Resume!P$15)*(_xlfn.SCAN("",INPUT!$B$3:$AJ$3,_xlfn.LAMBDA(_xlpm.a,_xlpm.b,IF(_xlpm.b="",_xlpm.a,_xlpm.b)))=Resume!$B20)*INPUT!$B$5:$AJ$35)</f>
        <v>0</v>
      </c>
      <c r="Q20" s="28" cm="1">
        <f t="array" ref="Q20">SUMPRODUCT((INPUT!$A$5:$A$35=Resume!Q$15)*(_xlfn.SCAN("",INPUT!$B$3:$AJ$3,_xlfn.LAMBDA(_xlpm.a,_xlpm.b,IF(_xlpm.b="",_xlpm.a,_xlpm.b)))=Resume!$B20)*INPUT!$B$5:$AJ$35)</f>
        <v>0</v>
      </c>
      <c r="R20" s="28" cm="1">
        <f t="array" ref="R20">SUMPRODUCT((INPUT!$A$5:$A$35=Resume!R$15)*(_xlfn.SCAN("",INPUT!$B$3:$AJ$3,_xlfn.LAMBDA(_xlpm.a,_xlpm.b,IF(_xlpm.b="",_xlpm.a,_xlpm.b)))=Resume!$B20)*INPUT!$B$5:$AJ$35)</f>
        <v>0</v>
      </c>
      <c r="S20" s="28" cm="1">
        <f t="array" ref="S20">SUMPRODUCT((INPUT!$A$5:$A$35=Resume!S$15)*(_xlfn.SCAN("",INPUT!$B$3:$AJ$3,_xlfn.LAMBDA(_xlpm.a,_xlpm.b,IF(_xlpm.b="",_xlpm.a,_xlpm.b)))=Resume!$B20)*INPUT!$B$5:$AJ$35)</f>
        <v>0</v>
      </c>
      <c r="T20" s="28" cm="1">
        <f t="array" ref="T20">SUMPRODUCT((INPUT!$A$5:$A$35=Resume!T$15)*(_xlfn.SCAN("",INPUT!$B$3:$AJ$3,_xlfn.LAMBDA(_xlpm.a,_xlpm.b,IF(_xlpm.b="",_xlpm.a,_xlpm.b)))=Resume!$B20)*INPUT!$B$5:$AJ$35)</f>
        <v>0</v>
      </c>
      <c r="U20" s="28" cm="1">
        <f t="array" ref="U20">SUMPRODUCT((INPUT!$A$5:$A$35=Resume!U$15)*(_xlfn.SCAN("",INPUT!$B$3:$AJ$3,_xlfn.LAMBDA(_xlpm.a,_xlpm.b,IF(_xlpm.b="",_xlpm.a,_xlpm.b)))=Resume!$B20)*INPUT!$B$5:$AJ$35)</f>
        <v>0</v>
      </c>
      <c r="V20" s="28" cm="1">
        <f t="array" ref="V20">SUMPRODUCT((INPUT!$A$5:$A$35=Resume!V$15)*(_xlfn.SCAN("",INPUT!$B$3:$AJ$3,_xlfn.LAMBDA(_xlpm.a,_xlpm.b,IF(_xlpm.b="",_xlpm.a,_xlpm.b)))=Resume!$B20)*INPUT!$B$5:$AJ$35)</f>
        <v>0</v>
      </c>
      <c r="W20" s="28" cm="1">
        <f t="array" ref="W20">SUMPRODUCT((INPUT!$A$5:$A$35=Resume!W$15)*(_xlfn.SCAN("",INPUT!$B$3:$AJ$3,_xlfn.LAMBDA(_xlpm.a,_xlpm.b,IF(_xlpm.b="",_xlpm.a,_xlpm.b)))=Resume!$B20)*INPUT!$B$5:$AJ$35)</f>
        <v>0</v>
      </c>
      <c r="X20" s="28" cm="1">
        <f t="array" ref="X20">SUMPRODUCT((INPUT!$A$5:$A$35=Resume!X$15)*(_xlfn.SCAN("",INPUT!$B$3:$AJ$3,_xlfn.LAMBDA(_xlpm.a,_xlpm.b,IF(_xlpm.b="",_xlpm.a,_xlpm.b)))=Resume!$B20)*INPUT!$B$5:$AJ$35)</f>
        <v>0</v>
      </c>
      <c r="Y20" s="28" cm="1">
        <f t="array" ref="Y20">SUMPRODUCT((INPUT!$A$5:$A$35=Resume!Y$15)*(_xlfn.SCAN("",INPUT!$B$3:$AJ$3,_xlfn.LAMBDA(_xlpm.a,_xlpm.b,IF(_xlpm.b="",_xlpm.a,_xlpm.b)))=Resume!$B20)*INPUT!$B$5:$AJ$35)</f>
        <v>0</v>
      </c>
      <c r="Z20" s="28" cm="1">
        <f t="array" ref="Z20">SUMPRODUCT((INPUT!$A$5:$A$35=Resume!Z$15)*(_xlfn.SCAN("",INPUT!$B$3:$AJ$3,_xlfn.LAMBDA(_xlpm.a,_xlpm.b,IF(_xlpm.b="",_xlpm.a,_xlpm.b)))=Resume!$B20)*INPUT!$B$5:$AJ$35)</f>
        <v>0</v>
      </c>
      <c r="AA20" s="28" cm="1">
        <f t="array" ref="AA20">SUMPRODUCT((INPUT!$A$5:$A$35=Resume!AA$15)*(_xlfn.SCAN("",INPUT!$B$3:$AJ$3,_xlfn.LAMBDA(_xlpm.a,_xlpm.b,IF(_xlpm.b="",_xlpm.a,_xlpm.b)))=Resume!$B20)*INPUT!$B$5:$AJ$35)</f>
        <v>0</v>
      </c>
      <c r="AB20" s="28" cm="1">
        <f t="array" ref="AB20">SUMPRODUCT((INPUT!$A$5:$A$35=Resume!AB$15)*(_xlfn.SCAN("",INPUT!$B$3:$AJ$3,_xlfn.LAMBDA(_xlpm.a,_xlpm.b,IF(_xlpm.b="",_xlpm.a,_xlpm.b)))=Resume!$B20)*INPUT!$B$5:$AJ$35)</f>
        <v>0</v>
      </c>
      <c r="AC20" s="28" cm="1">
        <f t="array" ref="AC20">SUMPRODUCT((INPUT!$A$5:$A$35=Resume!AC$15)*(_xlfn.SCAN("",INPUT!$B$3:$AJ$3,_xlfn.LAMBDA(_xlpm.a,_xlpm.b,IF(_xlpm.b="",_xlpm.a,_xlpm.b)))=Resume!$B20)*INPUT!$B$5:$AJ$35)</f>
        <v>0</v>
      </c>
      <c r="AD20" s="28" cm="1">
        <f t="array" ref="AD20">SUMPRODUCT((INPUT!$A$5:$A$35=Resume!AD$15)*(_xlfn.SCAN("",INPUT!$B$3:$AJ$3,_xlfn.LAMBDA(_xlpm.a,_xlpm.b,IF(_xlpm.b="",_xlpm.a,_xlpm.b)))=Resume!$B20)*INPUT!$B$5:$AJ$35)</f>
        <v>0</v>
      </c>
      <c r="AE20" s="28" cm="1">
        <f t="array" ref="AE20">SUMPRODUCT((INPUT!$A$5:$A$35=Resume!AE$15)*(_xlfn.SCAN("",INPUT!$B$3:$AJ$3,_xlfn.LAMBDA(_xlpm.a,_xlpm.b,IF(_xlpm.b="",_xlpm.a,_xlpm.b)))=Resume!$B20)*INPUT!$B$5:$AJ$35)</f>
        <v>0</v>
      </c>
      <c r="AF20" s="28" cm="1">
        <f t="array" ref="AF20">SUMPRODUCT((INPUT!$A$5:$A$35=Resume!AF$15)*(_xlfn.SCAN("",INPUT!$B$3:$AJ$3,_xlfn.LAMBDA(_xlpm.a,_xlpm.b,IF(_xlpm.b="",_xlpm.a,_xlpm.b)))=Resume!$B20)*INPUT!$B$5:$AJ$35)</f>
        <v>0</v>
      </c>
      <c r="AG20" s="28" cm="1">
        <f t="array" ref="AG20">SUMPRODUCT((INPUT!$A$5:$A$35=Resume!AG$15)*(_xlfn.SCAN("",INPUT!$B$3:$AJ$3,_xlfn.LAMBDA(_xlpm.a,_xlpm.b,IF(_xlpm.b="",_xlpm.a,_xlpm.b)))=Resume!$B20)*INPUT!$B$5:$AJ$35)</f>
        <v>0</v>
      </c>
    </row>
    <row r="21" spans="2:33" x14ac:dyDescent="0.35">
      <c r="B21" s="17" t="s">
        <v>4</v>
      </c>
      <c r="C21" s="28" cm="1">
        <f t="array" ref="C21">SUMPRODUCT((INPUT!$A$5:$A$35=Resume!C$15)*(_xlfn.SCAN("",INPUT!$B$3:$AJ$3,_xlfn.LAMBDA(_xlpm.a,_xlpm.b,IF(_xlpm.b="",_xlpm.a,_xlpm.b)))=Resume!$B21)*INPUT!$B$5:$AJ$35)</f>
        <v>17</v>
      </c>
      <c r="D21" s="28" cm="1">
        <f t="array" ref="D21">SUMPRODUCT((INPUT!$A$5:$A$35=Resume!D$15)*(_xlfn.SCAN("",INPUT!$B$3:$AJ$3,_xlfn.LAMBDA(_xlpm.a,_xlpm.b,IF(_xlpm.b="",_xlpm.a,_xlpm.b)))=Resume!$B21)*INPUT!$B$5:$AJ$35)</f>
        <v>23</v>
      </c>
      <c r="E21" s="28" cm="1">
        <f t="array" ref="E21">SUMPRODUCT((INPUT!$A$5:$A$35=Resume!E$15)*(_xlfn.SCAN("",INPUT!$B$3:$AJ$3,_xlfn.LAMBDA(_xlpm.a,_xlpm.b,IF(_xlpm.b="",_xlpm.a,_xlpm.b)))=Resume!$B21)*INPUT!$B$5:$AJ$35)</f>
        <v>19</v>
      </c>
      <c r="F21" s="28" cm="1">
        <f t="array" ref="F21">SUMPRODUCT((INPUT!$A$5:$A$35=Resume!F$15)*(_xlfn.SCAN("",INPUT!$B$3:$AJ$3,_xlfn.LAMBDA(_xlpm.a,_xlpm.b,IF(_xlpm.b="",_xlpm.a,_xlpm.b)))=Resume!$B21)*INPUT!$B$5:$AJ$35)</f>
        <v>23</v>
      </c>
      <c r="G21" s="28" cm="1">
        <f t="array" ref="G21">SUMPRODUCT((INPUT!$A$5:$A$35=Resume!G$15)*(_xlfn.SCAN("",INPUT!$B$3:$AJ$3,_xlfn.LAMBDA(_xlpm.a,_xlpm.b,IF(_xlpm.b="",_xlpm.a,_xlpm.b)))=Resume!$B21)*INPUT!$B$5:$AJ$35)</f>
        <v>13</v>
      </c>
      <c r="H21" s="28" cm="1">
        <f t="array" ref="H21">SUMPRODUCT((INPUT!$A$5:$A$35=Resume!H$15)*(_xlfn.SCAN("",INPUT!$B$3:$AJ$3,_xlfn.LAMBDA(_xlpm.a,_xlpm.b,IF(_xlpm.b="",_xlpm.a,_xlpm.b)))=Resume!$B21)*INPUT!$B$5:$AJ$35)</f>
        <v>20</v>
      </c>
      <c r="I21" s="28" cm="1">
        <f t="array" ref="I21">SUMPRODUCT((INPUT!$A$5:$A$35=Resume!I$15)*(_xlfn.SCAN("",INPUT!$B$3:$AJ$3,_xlfn.LAMBDA(_xlpm.a,_xlpm.b,IF(_xlpm.b="",_xlpm.a,_xlpm.b)))=Resume!$B21)*INPUT!$B$5:$AJ$35)</f>
        <v>19</v>
      </c>
      <c r="J21" s="28" cm="1">
        <f t="array" ref="J21">SUMPRODUCT((INPUT!$A$5:$A$35=Resume!J$15)*(_xlfn.SCAN("",INPUT!$B$3:$AJ$3,_xlfn.LAMBDA(_xlpm.a,_xlpm.b,IF(_xlpm.b="",_xlpm.a,_xlpm.b)))=Resume!$B21)*INPUT!$B$5:$AJ$35)</f>
        <v>13</v>
      </c>
      <c r="K21" s="28" cm="1">
        <f t="array" ref="K21">SUMPRODUCT((INPUT!$A$5:$A$35=Resume!K$15)*(_xlfn.SCAN("",INPUT!$B$3:$AJ$3,_xlfn.LAMBDA(_xlpm.a,_xlpm.b,IF(_xlpm.b="",_xlpm.a,_xlpm.b)))=Resume!$B21)*INPUT!$B$5:$AJ$35)</f>
        <v>12</v>
      </c>
      <c r="L21" s="28" cm="1">
        <f t="array" ref="L21">SUMPRODUCT((INPUT!$A$5:$A$35=Resume!L$15)*(_xlfn.SCAN("",INPUT!$B$3:$AJ$3,_xlfn.LAMBDA(_xlpm.a,_xlpm.b,IF(_xlpm.b="",_xlpm.a,_xlpm.b)))=Resume!$B21)*INPUT!$B$5:$AJ$35)</f>
        <v>21</v>
      </c>
      <c r="M21" s="28" cm="1">
        <f t="array" ref="M21">SUMPRODUCT((INPUT!$A$5:$A$35=Resume!M$15)*(_xlfn.SCAN("",INPUT!$B$3:$AJ$3,_xlfn.LAMBDA(_xlpm.a,_xlpm.b,IF(_xlpm.b="",_xlpm.a,_xlpm.b)))=Resume!$B21)*INPUT!$B$5:$AJ$35)</f>
        <v>0</v>
      </c>
      <c r="N21" s="28" cm="1">
        <f t="array" ref="N21">SUMPRODUCT((INPUT!$A$5:$A$35=Resume!N$15)*(_xlfn.SCAN("",INPUT!$B$3:$AJ$3,_xlfn.LAMBDA(_xlpm.a,_xlpm.b,IF(_xlpm.b="",_xlpm.a,_xlpm.b)))=Resume!$B21)*INPUT!$B$5:$AJ$35)</f>
        <v>0</v>
      </c>
      <c r="O21" s="28" cm="1">
        <f t="array" ref="O21">SUMPRODUCT((INPUT!$A$5:$A$35=Resume!O$15)*(_xlfn.SCAN("",INPUT!$B$3:$AJ$3,_xlfn.LAMBDA(_xlpm.a,_xlpm.b,IF(_xlpm.b="",_xlpm.a,_xlpm.b)))=Resume!$B21)*INPUT!$B$5:$AJ$35)</f>
        <v>0</v>
      </c>
      <c r="P21" s="28" cm="1">
        <f t="array" ref="P21">SUMPRODUCT((INPUT!$A$5:$A$35=Resume!P$15)*(_xlfn.SCAN("",INPUT!$B$3:$AJ$3,_xlfn.LAMBDA(_xlpm.a,_xlpm.b,IF(_xlpm.b="",_xlpm.a,_xlpm.b)))=Resume!$B21)*INPUT!$B$5:$AJ$35)</f>
        <v>0</v>
      </c>
      <c r="Q21" s="28" cm="1">
        <f t="array" ref="Q21">SUMPRODUCT((INPUT!$A$5:$A$35=Resume!Q$15)*(_xlfn.SCAN("",INPUT!$B$3:$AJ$3,_xlfn.LAMBDA(_xlpm.a,_xlpm.b,IF(_xlpm.b="",_xlpm.a,_xlpm.b)))=Resume!$B21)*INPUT!$B$5:$AJ$35)</f>
        <v>0</v>
      </c>
      <c r="R21" s="28" cm="1">
        <f t="array" ref="R21">SUMPRODUCT((INPUT!$A$5:$A$35=Resume!R$15)*(_xlfn.SCAN("",INPUT!$B$3:$AJ$3,_xlfn.LAMBDA(_xlpm.a,_xlpm.b,IF(_xlpm.b="",_xlpm.a,_xlpm.b)))=Resume!$B21)*INPUT!$B$5:$AJ$35)</f>
        <v>0</v>
      </c>
      <c r="S21" s="28" cm="1">
        <f t="array" ref="S21">SUMPRODUCT((INPUT!$A$5:$A$35=Resume!S$15)*(_xlfn.SCAN("",INPUT!$B$3:$AJ$3,_xlfn.LAMBDA(_xlpm.a,_xlpm.b,IF(_xlpm.b="",_xlpm.a,_xlpm.b)))=Resume!$B21)*INPUT!$B$5:$AJ$35)</f>
        <v>0</v>
      </c>
      <c r="T21" s="28" cm="1">
        <f t="array" ref="T21">SUMPRODUCT((INPUT!$A$5:$A$35=Resume!T$15)*(_xlfn.SCAN("",INPUT!$B$3:$AJ$3,_xlfn.LAMBDA(_xlpm.a,_xlpm.b,IF(_xlpm.b="",_xlpm.a,_xlpm.b)))=Resume!$B21)*INPUT!$B$5:$AJ$35)</f>
        <v>0</v>
      </c>
      <c r="U21" s="28" cm="1">
        <f t="array" ref="U21">SUMPRODUCT((INPUT!$A$5:$A$35=Resume!U$15)*(_xlfn.SCAN("",INPUT!$B$3:$AJ$3,_xlfn.LAMBDA(_xlpm.a,_xlpm.b,IF(_xlpm.b="",_xlpm.a,_xlpm.b)))=Resume!$B21)*INPUT!$B$5:$AJ$35)</f>
        <v>0</v>
      </c>
      <c r="V21" s="28" cm="1">
        <f t="array" ref="V21">SUMPRODUCT((INPUT!$A$5:$A$35=Resume!V$15)*(_xlfn.SCAN("",INPUT!$B$3:$AJ$3,_xlfn.LAMBDA(_xlpm.a,_xlpm.b,IF(_xlpm.b="",_xlpm.a,_xlpm.b)))=Resume!$B21)*INPUT!$B$5:$AJ$35)</f>
        <v>0</v>
      </c>
      <c r="W21" s="28" cm="1">
        <f t="array" ref="W21">SUMPRODUCT((INPUT!$A$5:$A$35=Resume!W$15)*(_xlfn.SCAN("",INPUT!$B$3:$AJ$3,_xlfn.LAMBDA(_xlpm.a,_xlpm.b,IF(_xlpm.b="",_xlpm.a,_xlpm.b)))=Resume!$B21)*INPUT!$B$5:$AJ$35)</f>
        <v>0</v>
      </c>
      <c r="X21" s="28" cm="1">
        <f t="array" ref="X21">SUMPRODUCT((INPUT!$A$5:$A$35=Resume!X$15)*(_xlfn.SCAN("",INPUT!$B$3:$AJ$3,_xlfn.LAMBDA(_xlpm.a,_xlpm.b,IF(_xlpm.b="",_xlpm.a,_xlpm.b)))=Resume!$B21)*INPUT!$B$5:$AJ$35)</f>
        <v>0</v>
      </c>
      <c r="Y21" s="28" cm="1">
        <f t="array" ref="Y21">SUMPRODUCT((INPUT!$A$5:$A$35=Resume!Y$15)*(_xlfn.SCAN("",INPUT!$B$3:$AJ$3,_xlfn.LAMBDA(_xlpm.a,_xlpm.b,IF(_xlpm.b="",_xlpm.a,_xlpm.b)))=Resume!$B21)*INPUT!$B$5:$AJ$35)</f>
        <v>0</v>
      </c>
      <c r="Z21" s="28" cm="1">
        <f t="array" ref="Z21">SUMPRODUCT((INPUT!$A$5:$A$35=Resume!Z$15)*(_xlfn.SCAN("",INPUT!$B$3:$AJ$3,_xlfn.LAMBDA(_xlpm.a,_xlpm.b,IF(_xlpm.b="",_xlpm.a,_xlpm.b)))=Resume!$B21)*INPUT!$B$5:$AJ$35)</f>
        <v>0</v>
      </c>
      <c r="AA21" s="28" cm="1">
        <f t="array" ref="AA21">SUMPRODUCT((INPUT!$A$5:$A$35=Resume!AA$15)*(_xlfn.SCAN("",INPUT!$B$3:$AJ$3,_xlfn.LAMBDA(_xlpm.a,_xlpm.b,IF(_xlpm.b="",_xlpm.a,_xlpm.b)))=Resume!$B21)*INPUT!$B$5:$AJ$35)</f>
        <v>0</v>
      </c>
      <c r="AB21" s="28" cm="1">
        <f t="array" ref="AB21">SUMPRODUCT((INPUT!$A$5:$A$35=Resume!AB$15)*(_xlfn.SCAN("",INPUT!$B$3:$AJ$3,_xlfn.LAMBDA(_xlpm.a,_xlpm.b,IF(_xlpm.b="",_xlpm.a,_xlpm.b)))=Resume!$B21)*INPUT!$B$5:$AJ$35)</f>
        <v>0</v>
      </c>
      <c r="AC21" s="28" cm="1">
        <f t="array" ref="AC21">SUMPRODUCT((INPUT!$A$5:$A$35=Resume!AC$15)*(_xlfn.SCAN("",INPUT!$B$3:$AJ$3,_xlfn.LAMBDA(_xlpm.a,_xlpm.b,IF(_xlpm.b="",_xlpm.a,_xlpm.b)))=Resume!$B21)*INPUT!$B$5:$AJ$35)</f>
        <v>0</v>
      </c>
      <c r="AD21" s="28" cm="1">
        <f t="array" ref="AD21">SUMPRODUCT((INPUT!$A$5:$A$35=Resume!AD$15)*(_xlfn.SCAN("",INPUT!$B$3:$AJ$3,_xlfn.LAMBDA(_xlpm.a,_xlpm.b,IF(_xlpm.b="",_xlpm.a,_xlpm.b)))=Resume!$B21)*INPUT!$B$5:$AJ$35)</f>
        <v>0</v>
      </c>
      <c r="AE21" s="28" cm="1">
        <f t="array" ref="AE21">SUMPRODUCT((INPUT!$A$5:$A$35=Resume!AE$15)*(_xlfn.SCAN("",INPUT!$B$3:$AJ$3,_xlfn.LAMBDA(_xlpm.a,_xlpm.b,IF(_xlpm.b="",_xlpm.a,_xlpm.b)))=Resume!$B21)*INPUT!$B$5:$AJ$35)</f>
        <v>0</v>
      </c>
      <c r="AF21" s="28" cm="1">
        <f t="array" ref="AF21">SUMPRODUCT((INPUT!$A$5:$A$35=Resume!AF$15)*(_xlfn.SCAN("",INPUT!$B$3:$AJ$3,_xlfn.LAMBDA(_xlpm.a,_xlpm.b,IF(_xlpm.b="",_xlpm.a,_xlpm.b)))=Resume!$B21)*INPUT!$B$5:$AJ$35)</f>
        <v>0</v>
      </c>
      <c r="AG21" s="28" cm="1">
        <f t="array" ref="AG21">SUMPRODUCT((INPUT!$A$5:$A$35=Resume!AG$15)*(_xlfn.SCAN("",INPUT!$B$3:$AJ$3,_xlfn.LAMBDA(_xlpm.a,_xlpm.b,IF(_xlpm.b="",_xlpm.a,_xlpm.b)))=Resume!$B21)*INPUT!$B$5:$AJ$35)</f>
        <v>0</v>
      </c>
    </row>
    <row r="22" spans="2:33" x14ac:dyDescent="0.35">
      <c r="B22" s="25" t="s">
        <v>9</v>
      </c>
      <c r="C22" s="28" cm="1">
        <f t="array" ref="C22">SUMPRODUCT((INPUT!$A$5:$A$35=Resume!C$15)*(_xlfn.SCAN("",INPUT!$B$3:$AJ$3,_xlfn.LAMBDA(_xlpm.a,_xlpm.b,IF(_xlpm.b="",_xlpm.a,_xlpm.b)))=Resume!$B22)*INPUT!$B$5:$AJ$35)</f>
        <v>23</v>
      </c>
      <c r="D22" s="28" cm="1">
        <f t="array" ref="D22">SUMPRODUCT((INPUT!$A$5:$A$35=Resume!D$15)*(_xlfn.SCAN("",INPUT!$B$3:$AJ$3,_xlfn.LAMBDA(_xlpm.a,_xlpm.b,IF(_xlpm.b="",_xlpm.a,_xlpm.b)))=Resume!$B22)*INPUT!$B$5:$AJ$35)</f>
        <v>12</v>
      </c>
      <c r="E22" s="28" cm="1">
        <f t="array" ref="E22">SUMPRODUCT((INPUT!$A$5:$A$35=Resume!E$15)*(_xlfn.SCAN("",INPUT!$B$3:$AJ$3,_xlfn.LAMBDA(_xlpm.a,_xlpm.b,IF(_xlpm.b="",_xlpm.a,_xlpm.b)))=Resume!$B22)*INPUT!$B$5:$AJ$35)</f>
        <v>20</v>
      </c>
      <c r="F22" s="28" cm="1">
        <f t="array" ref="F22">SUMPRODUCT((INPUT!$A$5:$A$35=Resume!F$15)*(_xlfn.SCAN("",INPUT!$B$3:$AJ$3,_xlfn.LAMBDA(_xlpm.a,_xlpm.b,IF(_xlpm.b="",_xlpm.a,_xlpm.b)))=Resume!$B22)*INPUT!$B$5:$AJ$35)</f>
        <v>12</v>
      </c>
      <c r="G22" s="28" cm="1">
        <f t="array" ref="G22">SUMPRODUCT((INPUT!$A$5:$A$35=Resume!G$15)*(_xlfn.SCAN("",INPUT!$B$3:$AJ$3,_xlfn.LAMBDA(_xlpm.a,_xlpm.b,IF(_xlpm.b="",_xlpm.a,_xlpm.b)))=Resume!$B22)*INPUT!$B$5:$AJ$35)</f>
        <v>14</v>
      </c>
      <c r="H22" s="28" cm="1">
        <f t="array" ref="H22">SUMPRODUCT((INPUT!$A$5:$A$35=Resume!H$15)*(_xlfn.SCAN("",INPUT!$B$3:$AJ$3,_xlfn.LAMBDA(_xlpm.a,_xlpm.b,IF(_xlpm.b="",_xlpm.a,_xlpm.b)))=Resume!$B22)*INPUT!$B$5:$AJ$35)</f>
        <v>20</v>
      </c>
      <c r="I22" s="28" cm="1">
        <f t="array" ref="I22">SUMPRODUCT((INPUT!$A$5:$A$35=Resume!I$15)*(_xlfn.SCAN("",INPUT!$B$3:$AJ$3,_xlfn.LAMBDA(_xlpm.a,_xlpm.b,IF(_xlpm.b="",_xlpm.a,_xlpm.b)))=Resume!$B22)*INPUT!$B$5:$AJ$35)</f>
        <v>20</v>
      </c>
      <c r="J22" s="28" cm="1">
        <f t="array" ref="J22">SUMPRODUCT((INPUT!$A$5:$A$35=Resume!J$15)*(_xlfn.SCAN("",INPUT!$B$3:$AJ$3,_xlfn.LAMBDA(_xlpm.a,_xlpm.b,IF(_xlpm.b="",_xlpm.a,_xlpm.b)))=Resume!$B22)*INPUT!$B$5:$AJ$35)</f>
        <v>23</v>
      </c>
      <c r="K22" s="28" cm="1">
        <f t="array" ref="K22">SUMPRODUCT((INPUT!$A$5:$A$35=Resume!K$15)*(_xlfn.SCAN("",INPUT!$B$3:$AJ$3,_xlfn.LAMBDA(_xlpm.a,_xlpm.b,IF(_xlpm.b="",_xlpm.a,_xlpm.b)))=Resume!$B22)*INPUT!$B$5:$AJ$35)</f>
        <v>18</v>
      </c>
      <c r="L22" s="28" cm="1">
        <f t="array" ref="L22">SUMPRODUCT((INPUT!$A$5:$A$35=Resume!L$15)*(_xlfn.SCAN("",INPUT!$B$3:$AJ$3,_xlfn.LAMBDA(_xlpm.a,_xlpm.b,IF(_xlpm.b="",_xlpm.a,_xlpm.b)))=Resume!$B22)*INPUT!$B$5:$AJ$35)</f>
        <v>14</v>
      </c>
      <c r="M22" s="28" cm="1">
        <f t="array" ref="M22">SUMPRODUCT((INPUT!$A$5:$A$35=Resume!M$15)*(_xlfn.SCAN("",INPUT!$B$3:$AJ$3,_xlfn.LAMBDA(_xlpm.a,_xlpm.b,IF(_xlpm.b="",_xlpm.a,_xlpm.b)))=Resume!$B22)*INPUT!$B$5:$AJ$35)</f>
        <v>0</v>
      </c>
      <c r="N22" s="28" cm="1">
        <f t="array" ref="N22">SUMPRODUCT((INPUT!$A$5:$A$35=Resume!N$15)*(_xlfn.SCAN("",INPUT!$B$3:$AJ$3,_xlfn.LAMBDA(_xlpm.a,_xlpm.b,IF(_xlpm.b="",_xlpm.a,_xlpm.b)))=Resume!$B22)*INPUT!$B$5:$AJ$35)</f>
        <v>0</v>
      </c>
      <c r="O22" s="28" cm="1">
        <f t="array" ref="O22">SUMPRODUCT((INPUT!$A$5:$A$35=Resume!O$15)*(_xlfn.SCAN("",INPUT!$B$3:$AJ$3,_xlfn.LAMBDA(_xlpm.a,_xlpm.b,IF(_xlpm.b="",_xlpm.a,_xlpm.b)))=Resume!$B22)*INPUT!$B$5:$AJ$35)</f>
        <v>0</v>
      </c>
      <c r="P22" s="28" cm="1">
        <f t="array" ref="P22">SUMPRODUCT((INPUT!$A$5:$A$35=Resume!P$15)*(_xlfn.SCAN("",INPUT!$B$3:$AJ$3,_xlfn.LAMBDA(_xlpm.a,_xlpm.b,IF(_xlpm.b="",_xlpm.a,_xlpm.b)))=Resume!$B22)*INPUT!$B$5:$AJ$35)</f>
        <v>0</v>
      </c>
      <c r="Q22" s="28" cm="1">
        <f t="array" ref="Q22">SUMPRODUCT((INPUT!$A$5:$A$35=Resume!Q$15)*(_xlfn.SCAN("",INPUT!$B$3:$AJ$3,_xlfn.LAMBDA(_xlpm.a,_xlpm.b,IF(_xlpm.b="",_xlpm.a,_xlpm.b)))=Resume!$B22)*INPUT!$B$5:$AJ$35)</f>
        <v>0</v>
      </c>
      <c r="R22" s="28" cm="1">
        <f t="array" ref="R22">SUMPRODUCT((INPUT!$A$5:$A$35=Resume!R$15)*(_xlfn.SCAN("",INPUT!$B$3:$AJ$3,_xlfn.LAMBDA(_xlpm.a,_xlpm.b,IF(_xlpm.b="",_xlpm.a,_xlpm.b)))=Resume!$B22)*INPUT!$B$5:$AJ$35)</f>
        <v>0</v>
      </c>
      <c r="S22" s="28" cm="1">
        <f t="array" ref="S22">SUMPRODUCT((INPUT!$A$5:$A$35=Resume!S$15)*(_xlfn.SCAN("",INPUT!$B$3:$AJ$3,_xlfn.LAMBDA(_xlpm.a,_xlpm.b,IF(_xlpm.b="",_xlpm.a,_xlpm.b)))=Resume!$B22)*INPUT!$B$5:$AJ$35)</f>
        <v>0</v>
      </c>
      <c r="T22" s="28" cm="1">
        <f t="array" ref="T22">SUMPRODUCT((INPUT!$A$5:$A$35=Resume!T$15)*(_xlfn.SCAN("",INPUT!$B$3:$AJ$3,_xlfn.LAMBDA(_xlpm.a,_xlpm.b,IF(_xlpm.b="",_xlpm.a,_xlpm.b)))=Resume!$B22)*INPUT!$B$5:$AJ$35)</f>
        <v>0</v>
      </c>
      <c r="U22" s="28" cm="1">
        <f t="array" ref="U22">SUMPRODUCT((INPUT!$A$5:$A$35=Resume!U$15)*(_xlfn.SCAN("",INPUT!$B$3:$AJ$3,_xlfn.LAMBDA(_xlpm.a,_xlpm.b,IF(_xlpm.b="",_xlpm.a,_xlpm.b)))=Resume!$B22)*INPUT!$B$5:$AJ$35)</f>
        <v>0</v>
      </c>
      <c r="V22" s="28" cm="1">
        <f t="array" ref="V22">SUMPRODUCT((INPUT!$A$5:$A$35=Resume!V$15)*(_xlfn.SCAN("",INPUT!$B$3:$AJ$3,_xlfn.LAMBDA(_xlpm.a,_xlpm.b,IF(_xlpm.b="",_xlpm.a,_xlpm.b)))=Resume!$B22)*INPUT!$B$5:$AJ$35)</f>
        <v>0</v>
      </c>
      <c r="W22" s="28" cm="1">
        <f t="array" ref="W22">SUMPRODUCT((INPUT!$A$5:$A$35=Resume!W$15)*(_xlfn.SCAN("",INPUT!$B$3:$AJ$3,_xlfn.LAMBDA(_xlpm.a,_xlpm.b,IF(_xlpm.b="",_xlpm.a,_xlpm.b)))=Resume!$B22)*INPUT!$B$5:$AJ$35)</f>
        <v>0</v>
      </c>
      <c r="X22" s="28" cm="1">
        <f t="array" ref="X22">SUMPRODUCT((INPUT!$A$5:$A$35=Resume!X$15)*(_xlfn.SCAN("",INPUT!$B$3:$AJ$3,_xlfn.LAMBDA(_xlpm.a,_xlpm.b,IF(_xlpm.b="",_xlpm.a,_xlpm.b)))=Resume!$B22)*INPUT!$B$5:$AJ$35)</f>
        <v>0</v>
      </c>
      <c r="Y22" s="28" cm="1">
        <f t="array" ref="Y22">SUMPRODUCT((INPUT!$A$5:$A$35=Resume!Y$15)*(_xlfn.SCAN("",INPUT!$B$3:$AJ$3,_xlfn.LAMBDA(_xlpm.a,_xlpm.b,IF(_xlpm.b="",_xlpm.a,_xlpm.b)))=Resume!$B22)*INPUT!$B$5:$AJ$35)</f>
        <v>0</v>
      </c>
      <c r="Z22" s="28" cm="1">
        <f t="array" ref="Z22">SUMPRODUCT((INPUT!$A$5:$A$35=Resume!Z$15)*(_xlfn.SCAN("",INPUT!$B$3:$AJ$3,_xlfn.LAMBDA(_xlpm.a,_xlpm.b,IF(_xlpm.b="",_xlpm.a,_xlpm.b)))=Resume!$B22)*INPUT!$B$5:$AJ$35)</f>
        <v>0</v>
      </c>
      <c r="AA22" s="28" cm="1">
        <f t="array" ref="AA22">SUMPRODUCT((INPUT!$A$5:$A$35=Resume!AA$15)*(_xlfn.SCAN("",INPUT!$B$3:$AJ$3,_xlfn.LAMBDA(_xlpm.a,_xlpm.b,IF(_xlpm.b="",_xlpm.a,_xlpm.b)))=Resume!$B22)*INPUT!$B$5:$AJ$35)</f>
        <v>0</v>
      </c>
      <c r="AB22" s="28" cm="1">
        <f t="array" ref="AB22">SUMPRODUCT((INPUT!$A$5:$A$35=Resume!AB$15)*(_xlfn.SCAN("",INPUT!$B$3:$AJ$3,_xlfn.LAMBDA(_xlpm.a,_xlpm.b,IF(_xlpm.b="",_xlpm.a,_xlpm.b)))=Resume!$B22)*INPUT!$B$5:$AJ$35)</f>
        <v>0</v>
      </c>
      <c r="AC22" s="28" cm="1">
        <f t="array" ref="AC22">SUMPRODUCT((INPUT!$A$5:$A$35=Resume!AC$15)*(_xlfn.SCAN("",INPUT!$B$3:$AJ$3,_xlfn.LAMBDA(_xlpm.a,_xlpm.b,IF(_xlpm.b="",_xlpm.a,_xlpm.b)))=Resume!$B22)*INPUT!$B$5:$AJ$35)</f>
        <v>0</v>
      </c>
      <c r="AD22" s="28" cm="1">
        <f t="array" ref="AD22">SUMPRODUCT((INPUT!$A$5:$A$35=Resume!AD$15)*(_xlfn.SCAN("",INPUT!$B$3:$AJ$3,_xlfn.LAMBDA(_xlpm.a,_xlpm.b,IF(_xlpm.b="",_xlpm.a,_xlpm.b)))=Resume!$B22)*INPUT!$B$5:$AJ$35)</f>
        <v>0</v>
      </c>
      <c r="AE22" s="28" cm="1">
        <f t="array" ref="AE22">SUMPRODUCT((INPUT!$A$5:$A$35=Resume!AE$15)*(_xlfn.SCAN("",INPUT!$B$3:$AJ$3,_xlfn.LAMBDA(_xlpm.a,_xlpm.b,IF(_xlpm.b="",_xlpm.a,_xlpm.b)))=Resume!$B22)*INPUT!$B$5:$AJ$35)</f>
        <v>0</v>
      </c>
      <c r="AF22" s="28" cm="1">
        <f t="array" ref="AF22">SUMPRODUCT((INPUT!$A$5:$A$35=Resume!AF$15)*(_xlfn.SCAN("",INPUT!$B$3:$AJ$3,_xlfn.LAMBDA(_xlpm.a,_xlpm.b,IF(_xlpm.b="",_xlpm.a,_xlpm.b)))=Resume!$B22)*INPUT!$B$5:$AJ$35)</f>
        <v>0</v>
      </c>
      <c r="AG22" s="28" cm="1">
        <f t="array" ref="AG22">SUMPRODUCT((INPUT!$A$5:$A$35=Resume!AG$15)*(_xlfn.SCAN("",INPUT!$B$3:$AJ$3,_xlfn.LAMBDA(_xlpm.a,_xlpm.b,IF(_xlpm.b="",_xlpm.a,_xlpm.b)))=Resume!$B22)*INPUT!$B$5:$AJ$35)</f>
        <v>0</v>
      </c>
    </row>
    <row r="23" spans="2:33" x14ac:dyDescent="0.35">
      <c r="B23" s="24" t="s">
        <v>10</v>
      </c>
      <c r="C23" s="29">
        <f>SUM(C16:C22)</f>
        <v>144</v>
      </c>
      <c r="D23" s="29">
        <f>SUM(D16:D22)</f>
        <v>134</v>
      </c>
      <c r="E23" s="29">
        <f>SUM(E16:E22)</f>
        <v>123</v>
      </c>
      <c r="F23" s="29">
        <f>SUM(F16:F22)</f>
        <v>134</v>
      </c>
      <c r="G23" s="29">
        <f>SUM(G16:G22)</f>
        <v>98</v>
      </c>
      <c r="H23" s="29">
        <f>SUM(H16:H22)</f>
        <v>117</v>
      </c>
      <c r="I23" s="29">
        <f>SUM(I16:I22)</f>
        <v>123</v>
      </c>
      <c r="J23" s="29">
        <f>SUM(J16:J22)</f>
        <v>121</v>
      </c>
      <c r="K23" s="29">
        <f>SUM(K16:K22)</f>
        <v>125</v>
      </c>
      <c r="L23" s="29">
        <f>SUM(L16:L22)</f>
        <v>120</v>
      </c>
      <c r="M23" s="29">
        <f>SUM(M16:M22)</f>
        <v>0</v>
      </c>
      <c r="N23" s="29">
        <f>SUM(N16:N22)</f>
        <v>0</v>
      </c>
      <c r="O23" s="29">
        <f>SUM(O16:O22)</f>
        <v>0</v>
      </c>
      <c r="P23" s="29">
        <f>SUM(P16:P22)</f>
        <v>0</v>
      </c>
      <c r="Q23" s="29">
        <f>SUM(Q16:Q22)</f>
        <v>0</v>
      </c>
      <c r="R23" s="29">
        <f>SUM(R16:R22)</f>
        <v>0</v>
      </c>
      <c r="S23" s="29">
        <f>SUM(S16:S22)</f>
        <v>0</v>
      </c>
      <c r="T23" s="29">
        <f>SUM(T16:T22)</f>
        <v>0</v>
      </c>
      <c r="U23" s="29">
        <f>SUM(U16:U22)</f>
        <v>0</v>
      </c>
      <c r="V23" s="29">
        <f>SUM(V16:V22)</f>
        <v>0</v>
      </c>
      <c r="W23" s="29">
        <f>SUM(W16:W22)</f>
        <v>0</v>
      </c>
      <c r="X23" s="29">
        <f>SUM(X16:X22)</f>
        <v>0</v>
      </c>
      <c r="Y23" s="29">
        <f>SUM(Y16:Y22)</f>
        <v>0</v>
      </c>
      <c r="Z23" s="29">
        <f>SUM(Z16:Z22)</f>
        <v>0</v>
      </c>
      <c r="AA23" s="29">
        <f>SUM(AA16:AA22)</f>
        <v>0</v>
      </c>
      <c r="AB23" s="29">
        <f>SUM(AB16:AB22)</f>
        <v>0</v>
      </c>
      <c r="AC23" s="29">
        <f>SUM(AC16:AC22)</f>
        <v>0</v>
      </c>
      <c r="AD23" s="29">
        <f>SUM(AD16:AD22)</f>
        <v>0</v>
      </c>
      <c r="AE23" s="29">
        <f>SUM(AE16:AE22)</f>
        <v>0</v>
      </c>
      <c r="AF23" s="29">
        <f>SUM(AF16:AF22)</f>
        <v>0</v>
      </c>
      <c r="AG23" s="29">
        <f>SUM(AG16:AG22)</f>
        <v>0</v>
      </c>
    </row>
    <row r="25" spans="2:33" ht="25" x14ac:dyDescent="0.6">
      <c r="B25" s="23" t="s">
        <v>15</v>
      </c>
      <c r="C25" s="20"/>
      <c r="D25" s="20"/>
      <c r="E25" s="20"/>
      <c r="F25" s="20"/>
      <c r="G25" s="20"/>
      <c r="H25" s="20"/>
      <c r="I25" s="21"/>
      <c r="J25" s="21"/>
    </row>
    <row r="26" spans="2:33" ht="21" x14ac:dyDescent="0.5">
      <c r="B26" s="22" t="str">
        <f ca="1">"Update "&amp;TEXT(TODAY(),"DD-MMM-YYYY")</f>
        <v>Update 10-Sep-2026</v>
      </c>
      <c r="C26" s="20"/>
      <c r="D26" s="20"/>
      <c r="E26" s="20"/>
      <c r="F26" s="20"/>
      <c r="G26" s="20"/>
      <c r="H26" s="20"/>
    </row>
    <row r="27" spans="2:33" x14ac:dyDescent="0.35">
      <c r="B27" s="16" t="s">
        <v>16</v>
      </c>
      <c r="C27" s="26">
        <v>46266</v>
      </c>
      <c r="D27" s="26">
        <v>46267</v>
      </c>
      <c r="E27" s="26">
        <v>46268</v>
      </c>
      <c r="F27" s="26">
        <v>46269</v>
      </c>
      <c r="G27" s="26">
        <v>46270</v>
      </c>
      <c r="H27" s="26">
        <v>46271</v>
      </c>
      <c r="I27" s="26">
        <v>46272</v>
      </c>
      <c r="J27" s="26">
        <v>46273</v>
      </c>
      <c r="K27" s="26">
        <v>46274</v>
      </c>
      <c r="L27" s="26">
        <v>46275</v>
      </c>
      <c r="M27" s="26">
        <v>46276</v>
      </c>
      <c r="N27" s="26">
        <v>46277</v>
      </c>
      <c r="O27" s="26">
        <v>46278</v>
      </c>
      <c r="P27" s="26">
        <v>46279</v>
      </c>
      <c r="Q27" s="26">
        <v>46280</v>
      </c>
      <c r="R27" s="26">
        <v>46281</v>
      </c>
      <c r="S27" s="26">
        <v>46282</v>
      </c>
      <c r="T27" s="26">
        <v>46283</v>
      </c>
      <c r="U27" s="26">
        <v>46284</v>
      </c>
      <c r="V27" s="26">
        <v>46285</v>
      </c>
      <c r="W27" s="26">
        <v>46286</v>
      </c>
      <c r="X27" s="26">
        <v>46287</v>
      </c>
      <c r="Y27" s="26">
        <v>46288</v>
      </c>
      <c r="Z27" s="26">
        <v>46289</v>
      </c>
      <c r="AA27" s="26">
        <v>46290</v>
      </c>
      <c r="AB27" s="26">
        <v>46291</v>
      </c>
      <c r="AC27" s="26">
        <v>46292</v>
      </c>
      <c r="AD27" s="26">
        <v>46293</v>
      </c>
      <c r="AE27" s="26">
        <v>46294</v>
      </c>
      <c r="AF27" s="26">
        <v>46295</v>
      </c>
      <c r="AG27" s="26">
        <v>46296</v>
      </c>
    </row>
    <row r="28" spans="2:33" x14ac:dyDescent="0.35">
      <c r="B28" s="30">
        <v>50</v>
      </c>
      <c r="C28" s="27" cm="1">
        <f t="array" ref="C28">SUMPRODUCT((INPUT!$A$5:$A$35=Resume!C$27)*(INPUT!$B$4:$AJ$4=Resume!$B28)*(INPUT!$B$5:$AJ$35))</f>
        <v>36</v>
      </c>
      <c r="D28" s="27" cm="1">
        <f t="array" ref="D28">SUMPRODUCT((INPUT!$A$5:$A$35=Resume!D$27)*(INPUT!$B$4:$AJ$4=Resume!$B28)*(INPUT!$B$5:$AJ$35))</f>
        <v>21</v>
      </c>
      <c r="E28" s="27" cm="1">
        <f t="array" ref="E28">SUMPRODUCT((INPUT!$A$5:$A$35=Resume!E$27)*(INPUT!$B$4:$AJ$4=Resume!$B28)*(INPUT!$B$5:$AJ$35))</f>
        <v>26</v>
      </c>
      <c r="F28" s="27" cm="1">
        <f t="array" ref="F28">SUMPRODUCT((INPUT!$A$5:$A$35=Resume!F$27)*(INPUT!$B$4:$AJ$4=Resume!$B28)*(INPUT!$B$5:$AJ$35))</f>
        <v>21</v>
      </c>
      <c r="G28" s="27" cm="1">
        <f t="array" ref="G28">SUMPRODUCT((INPUT!$A$5:$A$35=Resume!G$27)*(INPUT!$B$4:$AJ$4=Resume!$B28)*(INPUT!$B$5:$AJ$35))</f>
        <v>21</v>
      </c>
      <c r="H28" s="27" cm="1">
        <f t="array" ref="H28">SUMPRODUCT((INPUT!$A$5:$A$35=Resume!H$27)*(INPUT!$B$4:$AJ$4=Resume!$B28)*(INPUT!$B$5:$AJ$35))</f>
        <v>17</v>
      </c>
      <c r="I28" s="27" cm="1">
        <f t="array" ref="I28">SUMPRODUCT((INPUT!$A$5:$A$35=Resume!I$27)*(INPUT!$B$4:$AJ$4=Resume!$B28)*(INPUT!$B$5:$AJ$35))</f>
        <v>26</v>
      </c>
      <c r="J28" s="27" cm="1">
        <f t="array" ref="J28">SUMPRODUCT((INPUT!$A$5:$A$35=Resume!J$27)*(INPUT!$B$4:$AJ$4=Resume!$B28)*(INPUT!$B$5:$AJ$35))</f>
        <v>20</v>
      </c>
      <c r="K28" s="27" cm="1">
        <f t="array" ref="K28">SUMPRODUCT((INPUT!$A$5:$A$35=Resume!K$27)*(INPUT!$B$4:$AJ$4=Resume!$B28)*(INPUT!$B$5:$AJ$35))</f>
        <v>32</v>
      </c>
      <c r="L28" s="27" cm="1">
        <f t="array" ref="L28">SUMPRODUCT((INPUT!$A$5:$A$35=Resume!L$27)*(INPUT!$B$4:$AJ$4=Resume!$B28)*(INPUT!$B$5:$AJ$35))</f>
        <v>23</v>
      </c>
      <c r="M28" s="27" cm="1">
        <f t="array" ref="M28">SUMPRODUCT((INPUT!$A$5:$A$35=Resume!M$27)*(INPUT!$B$4:$AJ$4=Resume!$B28)*(INPUT!$B$5:$AJ$35))</f>
        <v>0</v>
      </c>
      <c r="N28" s="27" cm="1">
        <f t="array" ref="N28">SUMPRODUCT((INPUT!$A$5:$A$35=Resume!N$27)*(INPUT!$B$4:$AJ$4=Resume!$B28)*(INPUT!$B$5:$AJ$35))</f>
        <v>0</v>
      </c>
      <c r="O28" s="27" cm="1">
        <f t="array" ref="O28">SUMPRODUCT((INPUT!$A$5:$A$35=Resume!O$27)*(INPUT!$B$4:$AJ$4=Resume!$B28)*(INPUT!$B$5:$AJ$35))</f>
        <v>0</v>
      </c>
      <c r="P28" s="27" cm="1">
        <f t="array" ref="P28">SUMPRODUCT((INPUT!$A$5:$A$35=Resume!P$27)*(INPUT!$B$4:$AJ$4=Resume!$B28)*(INPUT!$B$5:$AJ$35))</f>
        <v>0</v>
      </c>
      <c r="Q28" s="27" cm="1">
        <f t="array" ref="Q28">SUMPRODUCT((INPUT!$A$5:$A$35=Resume!Q$27)*(INPUT!$B$4:$AJ$4=Resume!$B28)*(INPUT!$B$5:$AJ$35))</f>
        <v>0</v>
      </c>
      <c r="R28" s="27" cm="1">
        <f t="array" ref="R28">SUMPRODUCT((INPUT!$A$5:$A$35=Resume!R$27)*(INPUT!$B$4:$AJ$4=Resume!$B28)*(INPUT!$B$5:$AJ$35))</f>
        <v>0</v>
      </c>
      <c r="S28" s="27" cm="1">
        <f t="array" ref="S28">SUMPRODUCT((INPUT!$A$5:$A$35=Resume!S$27)*(INPUT!$B$4:$AJ$4=Resume!$B28)*(INPUT!$B$5:$AJ$35))</f>
        <v>0</v>
      </c>
      <c r="T28" s="27" cm="1">
        <f t="array" ref="T28">SUMPRODUCT((INPUT!$A$5:$A$35=Resume!T$27)*(INPUT!$B$4:$AJ$4=Resume!$B28)*(INPUT!$B$5:$AJ$35))</f>
        <v>0</v>
      </c>
      <c r="U28" s="27" cm="1">
        <f t="array" ref="U28">SUMPRODUCT((INPUT!$A$5:$A$35=Resume!U$27)*(INPUT!$B$4:$AJ$4=Resume!$B28)*(INPUT!$B$5:$AJ$35))</f>
        <v>0</v>
      </c>
      <c r="V28" s="27" cm="1">
        <f t="array" ref="V28">SUMPRODUCT((INPUT!$A$5:$A$35=Resume!V$27)*(INPUT!$B$4:$AJ$4=Resume!$B28)*(INPUT!$B$5:$AJ$35))</f>
        <v>0</v>
      </c>
      <c r="W28" s="27" cm="1">
        <f t="array" ref="W28">SUMPRODUCT((INPUT!$A$5:$A$35=Resume!W$27)*(INPUT!$B$4:$AJ$4=Resume!$B28)*(INPUT!$B$5:$AJ$35))</f>
        <v>0</v>
      </c>
      <c r="X28" s="27" cm="1">
        <f t="array" ref="X28">SUMPRODUCT((INPUT!$A$5:$A$35=Resume!X$27)*(INPUT!$B$4:$AJ$4=Resume!$B28)*(INPUT!$B$5:$AJ$35))</f>
        <v>0</v>
      </c>
      <c r="Y28" s="27" cm="1">
        <f t="array" ref="Y28">SUMPRODUCT((INPUT!$A$5:$A$35=Resume!Y$27)*(INPUT!$B$4:$AJ$4=Resume!$B28)*(INPUT!$B$5:$AJ$35))</f>
        <v>0</v>
      </c>
      <c r="Z28" s="27" cm="1">
        <f t="array" ref="Z28">SUMPRODUCT((INPUT!$A$5:$A$35=Resume!Z$27)*(INPUT!$B$4:$AJ$4=Resume!$B28)*(INPUT!$B$5:$AJ$35))</f>
        <v>0</v>
      </c>
      <c r="AA28" s="27" cm="1">
        <f t="array" ref="AA28">SUMPRODUCT((INPUT!$A$5:$A$35=Resume!AA$27)*(INPUT!$B$4:$AJ$4=Resume!$B28)*(INPUT!$B$5:$AJ$35))</f>
        <v>0</v>
      </c>
      <c r="AB28" s="27" cm="1">
        <f t="array" ref="AB28">SUMPRODUCT((INPUT!$A$5:$A$35=Resume!AB$27)*(INPUT!$B$4:$AJ$4=Resume!$B28)*(INPUT!$B$5:$AJ$35))</f>
        <v>0</v>
      </c>
      <c r="AC28" s="27" cm="1">
        <f t="array" ref="AC28">SUMPRODUCT((INPUT!$A$5:$A$35=Resume!AC$27)*(INPUT!$B$4:$AJ$4=Resume!$B28)*(INPUT!$B$5:$AJ$35))</f>
        <v>0</v>
      </c>
      <c r="AD28" s="27" cm="1">
        <f t="array" ref="AD28">SUMPRODUCT((INPUT!$A$5:$A$35=Resume!AD$27)*(INPUT!$B$4:$AJ$4=Resume!$B28)*(INPUT!$B$5:$AJ$35))</f>
        <v>0</v>
      </c>
      <c r="AE28" s="27" cm="1">
        <f t="array" ref="AE28">SUMPRODUCT((INPUT!$A$5:$A$35=Resume!AE$27)*(INPUT!$B$4:$AJ$4=Resume!$B28)*(INPUT!$B$5:$AJ$35))</f>
        <v>0</v>
      </c>
      <c r="AF28" s="27" cm="1">
        <f t="array" ref="AF28">SUMPRODUCT((INPUT!$A$5:$A$35=Resume!AF$27)*(INPUT!$B$4:$AJ$4=Resume!$B28)*(INPUT!$B$5:$AJ$35))</f>
        <v>0</v>
      </c>
      <c r="AG28" s="27" cm="1">
        <f t="array" ref="AG28">SUMPRODUCT((INPUT!$A$5:$A$35=Resume!AG$27)*(INPUT!$B$4:$AJ$4=Resume!$B28)*(INPUT!$B$5:$AJ$35))</f>
        <v>0</v>
      </c>
    </row>
    <row r="29" spans="2:33" x14ac:dyDescent="0.35">
      <c r="B29" s="30">
        <v>70</v>
      </c>
      <c r="C29" s="27" cm="1">
        <f t="array" ref="C29">SUMPRODUCT((INPUT!$A$5:$A$35=Resume!C$27)*(INPUT!$B$4:$AJ$4=Resume!$B29)*(INPUT!$B$5:$AJ$35))</f>
        <v>35</v>
      </c>
      <c r="D29" s="27" cm="1">
        <f t="array" ref="D29">SUMPRODUCT((INPUT!$A$5:$A$35=Resume!D$27)*(INPUT!$B$4:$AJ$4=Resume!$B29)*(INPUT!$B$5:$AJ$35))</f>
        <v>30</v>
      </c>
      <c r="E29" s="27" cm="1">
        <f t="array" ref="E29">SUMPRODUCT((INPUT!$A$5:$A$35=Resume!E$27)*(INPUT!$B$4:$AJ$4=Resume!$B29)*(INPUT!$B$5:$AJ$35))</f>
        <v>20</v>
      </c>
      <c r="F29" s="27" cm="1">
        <f t="array" ref="F29">SUMPRODUCT((INPUT!$A$5:$A$35=Resume!F$27)*(INPUT!$B$4:$AJ$4=Resume!$B29)*(INPUT!$B$5:$AJ$35))</f>
        <v>30</v>
      </c>
      <c r="G29" s="27" cm="1">
        <f t="array" ref="G29">SUMPRODUCT((INPUT!$A$5:$A$35=Resume!G$27)*(INPUT!$B$4:$AJ$4=Resume!$B29)*(INPUT!$B$5:$AJ$35))</f>
        <v>23</v>
      </c>
      <c r="H29" s="27" cm="1">
        <f t="array" ref="H29">SUMPRODUCT((INPUT!$A$5:$A$35=Resume!H$27)*(INPUT!$B$4:$AJ$4=Resume!$B29)*(INPUT!$B$5:$AJ$35))</f>
        <v>21</v>
      </c>
      <c r="I29" s="27" cm="1">
        <f t="array" ref="I29">SUMPRODUCT((INPUT!$A$5:$A$35=Resume!I$27)*(INPUT!$B$4:$AJ$4=Resume!$B29)*(INPUT!$B$5:$AJ$35))</f>
        <v>21</v>
      </c>
      <c r="J29" s="27" cm="1">
        <f t="array" ref="J29">SUMPRODUCT((INPUT!$A$5:$A$35=Resume!J$27)*(INPUT!$B$4:$AJ$4=Resume!$B29)*(INPUT!$B$5:$AJ$35))</f>
        <v>32</v>
      </c>
      <c r="K29" s="27" cm="1">
        <f t="array" ref="K29">SUMPRODUCT((INPUT!$A$5:$A$35=Resume!K$27)*(INPUT!$B$4:$AJ$4=Resume!$B29)*(INPUT!$B$5:$AJ$35))</f>
        <v>28</v>
      </c>
      <c r="L29" s="27" cm="1">
        <f t="array" ref="L29">SUMPRODUCT((INPUT!$A$5:$A$35=Resume!L$27)*(INPUT!$B$4:$AJ$4=Resume!$B29)*(INPUT!$B$5:$AJ$35))</f>
        <v>29</v>
      </c>
      <c r="M29" s="27" cm="1">
        <f t="array" ref="M29">SUMPRODUCT((INPUT!$A$5:$A$35=Resume!M$27)*(INPUT!$B$4:$AJ$4=Resume!$B29)*(INPUT!$B$5:$AJ$35))</f>
        <v>0</v>
      </c>
      <c r="N29" s="27" cm="1">
        <f t="array" ref="N29">SUMPRODUCT((INPUT!$A$5:$A$35=Resume!N$27)*(INPUT!$B$4:$AJ$4=Resume!$B29)*(INPUT!$B$5:$AJ$35))</f>
        <v>0</v>
      </c>
      <c r="O29" s="27" cm="1">
        <f t="array" ref="O29">SUMPRODUCT((INPUT!$A$5:$A$35=Resume!O$27)*(INPUT!$B$4:$AJ$4=Resume!$B29)*(INPUT!$B$5:$AJ$35))</f>
        <v>0</v>
      </c>
      <c r="P29" s="27" cm="1">
        <f t="array" ref="P29">SUMPRODUCT((INPUT!$A$5:$A$35=Resume!P$27)*(INPUT!$B$4:$AJ$4=Resume!$B29)*(INPUT!$B$5:$AJ$35))</f>
        <v>0</v>
      </c>
      <c r="Q29" s="27" cm="1">
        <f t="array" ref="Q29">SUMPRODUCT((INPUT!$A$5:$A$35=Resume!Q$27)*(INPUT!$B$4:$AJ$4=Resume!$B29)*(INPUT!$B$5:$AJ$35))</f>
        <v>0</v>
      </c>
      <c r="R29" s="27" cm="1">
        <f t="array" ref="R29">SUMPRODUCT((INPUT!$A$5:$A$35=Resume!R$27)*(INPUT!$B$4:$AJ$4=Resume!$B29)*(INPUT!$B$5:$AJ$35))</f>
        <v>0</v>
      </c>
      <c r="S29" s="27" cm="1">
        <f t="array" ref="S29">SUMPRODUCT((INPUT!$A$5:$A$35=Resume!S$27)*(INPUT!$B$4:$AJ$4=Resume!$B29)*(INPUT!$B$5:$AJ$35))</f>
        <v>0</v>
      </c>
      <c r="T29" s="27" cm="1">
        <f t="array" ref="T29">SUMPRODUCT((INPUT!$A$5:$A$35=Resume!T$27)*(INPUT!$B$4:$AJ$4=Resume!$B29)*(INPUT!$B$5:$AJ$35))</f>
        <v>0</v>
      </c>
      <c r="U29" s="27" cm="1">
        <f t="array" ref="U29">SUMPRODUCT((INPUT!$A$5:$A$35=Resume!U$27)*(INPUT!$B$4:$AJ$4=Resume!$B29)*(INPUT!$B$5:$AJ$35))</f>
        <v>0</v>
      </c>
      <c r="V29" s="27" cm="1">
        <f t="array" ref="V29">SUMPRODUCT((INPUT!$A$5:$A$35=Resume!V$27)*(INPUT!$B$4:$AJ$4=Resume!$B29)*(INPUT!$B$5:$AJ$35))</f>
        <v>0</v>
      </c>
      <c r="W29" s="27" cm="1">
        <f t="array" ref="W29">SUMPRODUCT((INPUT!$A$5:$A$35=Resume!W$27)*(INPUT!$B$4:$AJ$4=Resume!$B29)*(INPUT!$B$5:$AJ$35))</f>
        <v>0</v>
      </c>
      <c r="X29" s="27" cm="1">
        <f t="array" ref="X29">SUMPRODUCT((INPUT!$A$5:$A$35=Resume!X$27)*(INPUT!$B$4:$AJ$4=Resume!$B29)*(INPUT!$B$5:$AJ$35))</f>
        <v>0</v>
      </c>
      <c r="Y29" s="27" cm="1">
        <f t="array" ref="Y29">SUMPRODUCT((INPUT!$A$5:$A$35=Resume!Y$27)*(INPUT!$B$4:$AJ$4=Resume!$B29)*(INPUT!$B$5:$AJ$35))</f>
        <v>0</v>
      </c>
      <c r="Z29" s="27" cm="1">
        <f t="array" ref="Z29">SUMPRODUCT((INPUT!$A$5:$A$35=Resume!Z$27)*(INPUT!$B$4:$AJ$4=Resume!$B29)*(INPUT!$B$5:$AJ$35))</f>
        <v>0</v>
      </c>
      <c r="AA29" s="27" cm="1">
        <f t="array" ref="AA29">SUMPRODUCT((INPUT!$A$5:$A$35=Resume!AA$27)*(INPUT!$B$4:$AJ$4=Resume!$B29)*(INPUT!$B$5:$AJ$35))</f>
        <v>0</v>
      </c>
      <c r="AB29" s="27" cm="1">
        <f t="array" ref="AB29">SUMPRODUCT((INPUT!$A$5:$A$35=Resume!AB$27)*(INPUT!$B$4:$AJ$4=Resume!$B29)*(INPUT!$B$5:$AJ$35))</f>
        <v>0</v>
      </c>
      <c r="AC29" s="27" cm="1">
        <f t="array" ref="AC29">SUMPRODUCT((INPUT!$A$5:$A$35=Resume!AC$27)*(INPUT!$B$4:$AJ$4=Resume!$B29)*(INPUT!$B$5:$AJ$35))</f>
        <v>0</v>
      </c>
      <c r="AD29" s="27" cm="1">
        <f t="array" ref="AD29">SUMPRODUCT((INPUT!$A$5:$A$35=Resume!AD$27)*(INPUT!$B$4:$AJ$4=Resume!$B29)*(INPUT!$B$5:$AJ$35))</f>
        <v>0</v>
      </c>
      <c r="AE29" s="27" cm="1">
        <f t="array" ref="AE29">SUMPRODUCT((INPUT!$A$5:$A$35=Resume!AE$27)*(INPUT!$B$4:$AJ$4=Resume!$B29)*(INPUT!$B$5:$AJ$35))</f>
        <v>0</v>
      </c>
      <c r="AF29" s="27" cm="1">
        <f t="array" ref="AF29">SUMPRODUCT((INPUT!$A$5:$A$35=Resume!AF$27)*(INPUT!$B$4:$AJ$4=Resume!$B29)*(INPUT!$B$5:$AJ$35))</f>
        <v>0</v>
      </c>
      <c r="AG29" s="27" cm="1">
        <f t="array" ref="AG29">SUMPRODUCT((INPUT!$A$5:$A$35=Resume!AG$27)*(INPUT!$B$4:$AJ$4=Resume!$B29)*(INPUT!$B$5:$AJ$35))</f>
        <v>0</v>
      </c>
    </row>
    <row r="30" spans="2:33" x14ac:dyDescent="0.35">
      <c r="B30" s="30">
        <v>100</v>
      </c>
      <c r="C30" s="27" cm="1">
        <f t="array" ref="C30">SUMPRODUCT((INPUT!$A$5:$A$35=Resume!C$27)*(INPUT!$B$4:$AJ$4=Resume!$B30)*(INPUT!$B$5:$AJ$35))</f>
        <v>28</v>
      </c>
      <c r="D30" s="27" cm="1">
        <f t="array" ref="D30">SUMPRODUCT((INPUT!$A$5:$A$35=Resume!D$27)*(INPUT!$B$4:$AJ$4=Resume!$B30)*(INPUT!$B$5:$AJ$35))</f>
        <v>33</v>
      </c>
      <c r="E30" s="27" cm="1">
        <f t="array" ref="E30">SUMPRODUCT((INPUT!$A$5:$A$35=Resume!E$27)*(INPUT!$B$4:$AJ$4=Resume!$B30)*(INPUT!$B$5:$AJ$35))</f>
        <v>17</v>
      </c>
      <c r="F30" s="27" cm="1">
        <f t="array" ref="F30">SUMPRODUCT((INPUT!$A$5:$A$35=Resume!F$27)*(INPUT!$B$4:$AJ$4=Resume!$B30)*(INPUT!$B$5:$AJ$35))</f>
        <v>33</v>
      </c>
      <c r="G30" s="27" cm="1">
        <f t="array" ref="G30">SUMPRODUCT((INPUT!$A$5:$A$35=Resume!G$27)*(INPUT!$B$4:$AJ$4=Resume!$B30)*(INPUT!$B$5:$AJ$35))</f>
        <v>19</v>
      </c>
      <c r="H30" s="27" cm="1">
        <f t="array" ref="H30">SUMPRODUCT((INPUT!$A$5:$A$35=Resume!H$27)*(INPUT!$B$4:$AJ$4=Resume!$B30)*(INPUT!$B$5:$AJ$35))</f>
        <v>30</v>
      </c>
      <c r="I30" s="27" cm="1">
        <f t="array" ref="I30">SUMPRODUCT((INPUT!$A$5:$A$35=Resume!I$27)*(INPUT!$B$4:$AJ$4=Resume!$B30)*(INPUT!$B$5:$AJ$35))</f>
        <v>17</v>
      </c>
      <c r="J30" s="27" cm="1">
        <f t="array" ref="J30">SUMPRODUCT((INPUT!$A$5:$A$35=Resume!J$27)*(INPUT!$B$4:$AJ$4=Resume!$B30)*(INPUT!$B$5:$AJ$35))</f>
        <v>18</v>
      </c>
      <c r="K30" s="27" cm="1">
        <f t="array" ref="K30">SUMPRODUCT((INPUT!$A$5:$A$35=Resume!K$27)*(INPUT!$B$4:$AJ$4=Resume!$B30)*(INPUT!$B$5:$AJ$35))</f>
        <v>29</v>
      </c>
      <c r="L30" s="27" cm="1">
        <f t="array" ref="L30">SUMPRODUCT((INPUT!$A$5:$A$35=Resume!L$27)*(INPUT!$B$4:$AJ$4=Resume!$B30)*(INPUT!$B$5:$AJ$35))</f>
        <v>20</v>
      </c>
      <c r="M30" s="27" cm="1">
        <f t="array" ref="M30">SUMPRODUCT((INPUT!$A$5:$A$35=Resume!M$27)*(INPUT!$B$4:$AJ$4=Resume!$B30)*(INPUT!$B$5:$AJ$35))</f>
        <v>0</v>
      </c>
      <c r="N30" s="27" cm="1">
        <f t="array" ref="N30">SUMPRODUCT((INPUT!$A$5:$A$35=Resume!N$27)*(INPUT!$B$4:$AJ$4=Resume!$B30)*(INPUT!$B$5:$AJ$35))</f>
        <v>0</v>
      </c>
      <c r="O30" s="27" cm="1">
        <f t="array" ref="O30">SUMPRODUCT((INPUT!$A$5:$A$35=Resume!O$27)*(INPUT!$B$4:$AJ$4=Resume!$B30)*(INPUT!$B$5:$AJ$35))</f>
        <v>0</v>
      </c>
      <c r="P30" s="27" cm="1">
        <f t="array" ref="P30">SUMPRODUCT((INPUT!$A$5:$A$35=Resume!P$27)*(INPUT!$B$4:$AJ$4=Resume!$B30)*(INPUT!$B$5:$AJ$35))</f>
        <v>0</v>
      </c>
      <c r="Q30" s="27" cm="1">
        <f t="array" ref="Q30">SUMPRODUCT((INPUT!$A$5:$A$35=Resume!Q$27)*(INPUT!$B$4:$AJ$4=Resume!$B30)*(INPUT!$B$5:$AJ$35))</f>
        <v>0</v>
      </c>
      <c r="R30" s="27" cm="1">
        <f t="array" ref="R30">SUMPRODUCT((INPUT!$A$5:$A$35=Resume!R$27)*(INPUT!$B$4:$AJ$4=Resume!$B30)*(INPUT!$B$5:$AJ$35))</f>
        <v>0</v>
      </c>
      <c r="S30" s="27" cm="1">
        <f t="array" ref="S30">SUMPRODUCT((INPUT!$A$5:$A$35=Resume!S$27)*(INPUT!$B$4:$AJ$4=Resume!$B30)*(INPUT!$B$5:$AJ$35))</f>
        <v>0</v>
      </c>
      <c r="T30" s="27" cm="1">
        <f t="array" ref="T30">SUMPRODUCT((INPUT!$A$5:$A$35=Resume!T$27)*(INPUT!$B$4:$AJ$4=Resume!$B30)*(INPUT!$B$5:$AJ$35))</f>
        <v>0</v>
      </c>
      <c r="U30" s="27" cm="1">
        <f t="array" ref="U30">SUMPRODUCT((INPUT!$A$5:$A$35=Resume!U$27)*(INPUT!$B$4:$AJ$4=Resume!$B30)*(INPUT!$B$5:$AJ$35))</f>
        <v>0</v>
      </c>
      <c r="V30" s="27" cm="1">
        <f t="array" ref="V30">SUMPRODUCT((INPUT!$A$5:$A$35=Resume!V$27)*(INPUT!$B$4:$AJ$4=Resume!$B30)*(INPUT!$B$5:$AJ$35))</f>
        <v>0</v>
      </c>
      <c r="W30" s="27" cm="1">
        <f t="array" ref="W30">SUMPRODUCT((INPUT!$A$5:$A$35=Resume!W$27)*(INPUT!$B$4:$AJ$4=Resume!$B30)*(INPUT!$B$5:$AJ$35))</f>
        <v>0</v>
      </c>
      <c r="X30" s="27" cm="1">
        <f t="array" ref="X30">SUMPRODUCT((INPUT!$A$5:$A$35=Resume!X$27)*(INPUT!$B$4:$AJ$4=Resume!$B30)*(INPUT!$B$5:$AJ$35))</f>
        <v>0</v>
      </c>
      <c r="Y30" s="27" cm="1">
        <f t="array" ref="Y30">SUMPRODUCT((INPUT!$A$5:$A$35=Resume!Y$27)*(INPUT!$B$4:$AJ$4=Resume!$B30)*(INPUT!$B$5:$AJ$35))</f>
        <v>0</v>
      </c>
      <c r="Z30" s="27" cm="1">
        <f t="array" ref="Z30">SUMPRODUCT((INPUT!$A$5:$A$35=Resume!Z$27)*(INPUT!$B$4:$AJ$4=Resume!$B30)*(INPUT!$B$5:$AJ$35))</f>
        <v>0</v>
      </c>
      <c r="AA30" s="27" cm="1">
        <f t="array" ref="AA30">SUMPRODUCT((INPUT!$A$5:$A$35=Resume!AA$27)*(INPUT!$B$4:$AJ$4=Resume!$B30)*(INPUT!$B$5:$AJ$35))</f>
        <v>0</v>
      </c>
      <c r="AB30" s="27" cm="1">
        <f t="array" ref="AB30">SUMPRODUCT((INPUT!$A$5:$A$35=Resume!AB$27)*(INPUT!$B$4:$AJ$4=Resume!$B30)*(INPUT!$B$5:$AJ$35))</f>
        <v>0</v>
      </c>
      <c r="AC30" s="27" cm="1">
        <f t="array" ref="AC30">SUMPRODUCT((INPUT!$A$5:$A$35=Resume!AC$27)*(INPUT!$B$4:$AJ$4=Resume!$B30)*(INPUT!$B$5:$AJ$35))</f>
        <v>0</v>
      </c>
      <c r="AD30" s="27" cm="1">
        <f t="array" ref="AD30">SUMPRODUCT((INPUT!$A$5:$A$35=Resume!AD$27)*(INPUT!$B$4:$AJ$4=Resume!$B30)*(INPUT!$B$5:$AJ$35))</f>
        <v>0</v>
      </c>
      <c r="AE30" s="27" cm="1">
        <f t="array" ref="AE30">SUMPRODUCT((INPUT!$A$5:$A$35=Resume!AE$27)*(INPUT!$B$4:$AJ$4=Resume!$B30)*(INPUT!$B$5:$AJ$35))</f>
        <v>0</v>
      </c>
      <c r="AF30" s="27" cm="1">
        <f t="array" ref="AF30">SUMPRODUCT((INPUT!$A$5:$A$35=Resume!AF$27)*(INPUT!$B$4:$AJ$4=Resume!$B30)*(INPUT!$B$5:$AJ$35))</f>
        <v>0</v>
      </c>
      <c r="AG30" s="27" cm="1">
        <f t="array" ref="AG30">SUMPRODUCT((INPUT!$A$5:$A$35=Resume!AG$27)*(INPUT!$B$4:$AJ$4=Resume!$B30)*(INPUT!$B$5:$AJ$35))</f>
        <v>0</v>
      </c>
    </row>
    <row r="31" spans="2:33" x14ac:dyDescent="0.35">
      <c r="B31" s="30">
        <v>125</v>
      </c>
      <c r="C31" s="27" cm="1">
        <f t="array" ref="C31">SUMPRODUCT((INPUT!$A$5:$A$35=Resume!C$27)*(INPUT!$B$4:$AJ$4=Resume!$B31)*(INPUT!$B$5:$AJ$35))</f>
        <v>26</v>
      </c>
      <c r="D31" s="27" cm="1">
        <f t="array" ref="D31">SUMPRODUCT((INPUT!$A$5:$A$35=Resume!D$27)*(INPUT!$B$4:$AJ$4=Resume!$B31)*(INPUT!$B$5:$AJ$35))</f>
        <v>31</v>
      </c>
      <c r="E31" s="27" cm="1">
        <f t="array" ref="E31">SUMPRODUCT((INPUT!$A$5:$A$35=Resume!E$27)*(INPUT!$B$4:$AJ$4=Resume!$B31)*(INPUT!$B$5:$AJ$35))</f>
        <v>30</v>
      </c>
      <c r="F31" s="27" cm="1">
        <f t="array" ref="F31">SUMPRODUCT((INPUT!$A$5:$A$35=Resume!F$27)*(INPUT!$B$4:$AJ$4=Resume!$B31)*(INPUT!$B$5:$AJ$35))</f>
        <v>31</v>
      </c>
      <c r="G31" s="27" cm="1">
        <f t="array" ref="G31">SUMPRODUCT((INPUT!$A$5:$A$35=Resume!G$27)*(INPUT!$B$4:$AJ$4=Resume!$B31)*(INPUT!$B$5:$AJ$35))</f>
        <v>17</v>
      </c>
      <c r="H31" s="27" cm="1">
        <f t="array" ref="H31">SUMPRODUCT((INPUT!$A$5:$A$35=Resume!H$27)*(INPUT!$B$4:$AJ$4=Resume!$B31)*(INPUT!$B$5:$AJ$35))</f>
        <v>26</v>
      </c>
      <c r="I31" s="27" cm="1">
        <f t="array" ref="I31">SUMPRODUCT((INPUT!$A$5:$A$35=Resume!I$27)*(INPUT!$B$4:$AJ$4=Resume!$B31)*(INPUT!$B$5:$AJ$35))</f>
        <v>30</v>
      </c>
      <c r="J31" s="27" cm="1">
        <f t="array" ref="J31">SUMPRODUCT((INPUT!$A$5:$A$35=Resume!J$27)*(INPUT!$B$4:$AJ$4=Resume!$B31)*(INPUT!$B$5:$AJ$35))</f>
        <v>28</v>
      </c>
      <c r="K31" s="27" cm="1">
        <f t="array" ref="K31">SUMPRODUCT((INPUT!$A$5:$A$35=Resume!K$27)*(INPUT!$B$4:$AJ$4=Resume!$B31)*(INPUT!$B$5:$AJ$35))</f>
        <v>15</v>
      </c>
      <c r="L31" s="27" cm="1">
        <f t="array" ref="L31">SUMPRODUCT((INPUT!$A$5:$A$35=Resume!L$27)*(INPUT!$B$4:$AJ$4=Resume!$B31)*(INPUT!$B$5:$AJ$35))</f>
        <v>33</v>
      </c>
      <c r="M31" s="27" cm="1">
        <f t="array" ref="M31">SUMPRODUCT((INPUT!$A$5:$A$35=Resume!M$27)*(INPUT!$B$4:$AJ$4=Resume!$B31)*(INPUT!$B$5:$AJ$35))</f>
        <v>0</v>
      </c>
      <c r="N31" s="27" cm="1">
        <f t="array" ref="N31">SUMPRODUCT((INPUT!$A$5:$A$35=Resume!N$27)*(INPUT!$B$4:$AJ$4=Resume!$B31)*(INPUT!$B$5:$AJ$35))</f>
        <v>0</v>
      </c>
      <c r="O31" s="27" cm="1">
        <f t="array" ref="O31">SUMPRODUCT((INPUT!$A$5:$A$35=Resume!O$27)*(INPUT!$B$4:$AJ$4=Resume!$B31)*(INPUT!$B$5:$AJ$35))</f>
        <v>0</v>
      </c>
      <c r="P31" s="27" cm="1">
        <f t="array" ref="P31">SUMPRODUCT((INPUT!$A$5:$A$35=Resume!P$27)*(INPUT!$B$4:$AJ$4=Resume!$B31)*(INPUT!$B$5:$AJ$35))</f>
        <v>0</v>
      </c>
      <c r="Q31" s="27" cm="1">
        <f t="array" ref="Q31">SUMPRODUCT((INPUT!$A$5:$A$35=Resume!Q$27)*(INPUT!$B$4:$AJ$4=Resume!$B31)*(INPUT!$B$5:$AJ$35))</f>
        <v>0</v>
      </c>
      <c r="R31" s="27" cm="1">
        <f t="array" ref="R31">SUMPRODUCT((INPUT!$A$5:$A$35=Resume!R$27)*(INPUT!$B$4:$AJ$4=Resume!$B31)*(INPUT!$B$5:$AJ$35))</f>
        <v>0</v>
      </c>
      <c r="S31" s="27" cm="1">
        <f t="array" ref="S31">SUMPRODUCT((INPUT!$A$5:$A$35=Resume!S$27)*(INPUT!$B$4:$AJ$4=Resume!$B31)*(INPUT!$B$5:$AJ$35))</f>
        <v>0</v>
      </c>
      <c r="T31" s="27" cm="1">
        <f t="array" ref="T31">SUMPRODUCT((INPUT!$A$5:$A$35=Resume!T$27)*(INPUT!$B$4:$AJ$4=Resume!$B31)*(INPUT!$B$5:$AJ$35))</f>
        <v>0</v>
      </c>
      <c r="U31" s="27" cm="1">
        <f t="array" ref="U31">SUMPRODUCT((INPUT!$A$5:$A$35=Resume!U$27)*(INPUT!$B$4:$AJ$4=Resume!$B31)*(INPUT!$B$5:$AJ$35))</f>
        <v>0</v>
      </c>
      <c r="V31" s="27" cm="1">
        <f t="array" ref="V31">SUMPRODUCT((INPUT!$A$5:$A$35=Resume!V$27)*(INPUT!$B$4:$AJ$4=Resume!$B31)*(INPUT!$B$5:$AJ$35))</f>
        <v>0</v>
      </c>
      <c r="W31" s="27" cm="1">
        <f t="array" ref="W31">SUMPRODUCT((INPUT!$A$5:$A$35=Resume!W$27)*(INPUT!$B$4:$AJ$4=Resume!$B31)*(INPUT!$B$5:$AJ$35))</f>
        <v>0</v>
      </c>
      <c r="X31" s="27" cm="1">
        <f t="array" ref="X31">SUMPRODUCT((INPUT!$A$5:$A$35=Resume!X$27)*(INPUT!$B$4:$AJ$4=Resume!$B31)*(INPUT!$B$5:$AJ$35))</f>
        <v>0</v>
      </c>
      <c r="Y31" s="27" cm="1">
        <f t="array" ref="Y31">SUMPRODUCT((INPUT!$A$5:$A$35=Resume!Y$27)*(INPUT!$B$4:$AJ$4=Resume!$B31)*(INPUT!$B$5:$AJ$35))</f>
        <v>0</v>
      </c>
      <c r="Z31" s="27" cm="1">
        <f t="array" ref="Z31">SUMPRODUCT((INPUT!$A$5:$A$35=Resume!Z$27)*(INPUT!$B$4:$AJ$4=Resume!$B31)*(INPUT!$B$5:$AJ$35))</f>
        <v>0</v>
      </c>
      <c r="AA31" s="27" cm="1">
        <f t="array" ref="AA31">SUMPRODUCT((INPUT!$A$5:$A$35=Resume!AA$27)*(INPUT!$B$4:$AJ$4=Resume!$B31)*(INPUT!$B$5:$AJ$35))</f>
        <v>0</v>
      </c>
      <c r="AB31" s="27" cm="1">
        <f t="array" ref="AB31">SUMPRODUCT((INPUT!$A$5:$A$35=Resume!AB$27)*(INPUT!$B$4:$AJ$4=Resume!$B31)*(INPUT!$B$5:$AJ$35))</f>
        <v>0</v>
      </c>
      <c r="AC31" s="27" cm="1">
        <f t="array" ref="AC31">SUMPRODUCT((INPUT!$A$5:$A$35=Resume!AC$27)*(INPUT!$B$4:$AJ$4=Resume!$B31)*(INPUT!$B$5:$AJ$35))</f>
        <v>0</v>
      </c>
      <c r="AD31" s="27" cm="1">
        <f t="array" ref="AD31">SUMPRODUCT((INPUT!$A$5:$A$35=Resume!AD$27)*(INPUT!$B$4:$AJ$4=Resume!$B31)*(INPUT!$B$5:$AJ$35))</f>
        <v>0</v>
      </c>
      <c r="AE31" s="27" cm="1">
        <f t="array" ref="AE31">SUMPRODUCT((INPUT!$A$5:$A$35=Resume!AE$27)*(INPUT!$B$4:$AJ$4=Resume!$B31)*(INPUT!$B$5:$AJ$35))</f>
        <v>0</v>
      </c>
      <c r="AF31" s="27" cm="1">
        <f t="array" ref="AF31">SUMPRODUCT((INPUT!$A$5:$A$35=Resume!AF$27)*(INPUT!$B$4:$AJ$4=Resume!$B31)*(INPUT!$B$5:$AJ$35))</f>
        <v>0</v>
      </c>
      <c r="AG31" s="27" cm="1">
        <f t="array" ref="AG31">SUMPRODUCT((INPUT!$A$5:$A$35=Resume!AG$27)*(INPUT!$B$4:$AJ$4=Resume!$B31)*(INPUT!$B$5:$AJ$35))</f>
        <v>0</v>
      </c>
    </row>
    <row r="32" spans="2:33" x14ac:dyDescent="0.35">
      <c r="B32" s="30">
        <v>165</v>
      </c>
      <c r="C32" s="27" cm="1">
        <f t="array" ref="C32">SUMPRODUCT((INPUT!$A$5:$A$35=Resume!C$27)*(INPUT!$B$4:$AJ$4=Resume!$B32)*(INPUT!$B$5:$AJ$35))</f>
        <v>19</v>
      </c>
      <c r="D32" s="27" cm="1">
        <f t="array" ref="D32">SUMPRODUCT((INPUT!$A$5:$A$35=Resume!D$27)*(INPUT!$B$4:$AJ$4=Resume!$B32)*(INPUT!$B$5:$AJ$35))</f>
        <v>19</v>
      </c>
      <c r="E32" s="27" cm="1">
        <f t="array" ref="E32">SUMPRODUCT((INPUT!$A$5:$A$35=Resume!E$27)*(INPUT!$B$4:$AJ$4=Resume!$B32)*(INPUT!$B$5:$AJ$35))</f>
        <v>30</v>
      </c>
      <c r="F32" s="27" cm="1">
        <f t="array" ref="F32">SUMPRODUCT((INPUT!$A$5:$A$35=Resume!F$27)*(INPUT!$B$4:$AJ$4=Resume!$B32)*(INPUT!$B$5:$AJ$35))</f>
        <v>19</v>
      </c>
      <c r="G32" s="27" cm="1">
        <f t="array" ref="G32">SUMPRODUCT((INPUT!$A$5:$A$35=Resume!G$27)*(INPUT!$B$4:$AJ$4=Resume!$B32)*(INPUT!$B$5:$AJ$35))</f>
        <v>18</v>
      </c>
      <c r="H32" s="27" cm="1">
        <f t="array" ref="H32">SUMPRODUCT((INPUT!$A$5:$A$35=Resume!H$27)*(INPUT!$B$4:$AJ$4=Resume!$B32)*(INPUT!$B$5:$AJ$35))</f>
        <v>23</v>
      </c>
      <c r="I32" s="27" cm="1">
        <f t="array" ref="I32">SUMPRODUCT((INPUT!$A$5:$A$35=Resume!I$27)*(INPUT!$B$4:$AJ$4=Resume!$B32)*(INPUT!$B$5:$AJ$35))</f>
        <v>29</v>
      </c>
      <c r="J32" s="27" cm="1">
        <f t="array" ref="J32">SUMPRODUCT((INPUT!$A$5:$A$35=Resume!J$27)*(INPUT!$B$4:$AJ$4=Resume!$B32)*(INPUT!$B$5:$AJ$35))</f>
        <v>23</v>
      </c>
      <c r="K32" s="27" cm="1">
        <f t="array" ref="K32">SUMPRODUCT((INPUT!$A$5:$A$35=Resume!K$27)*(INPUT!$B$4:$AJ$4=Resume!$B32)*(INPUT!$B$5:$AJ$35))</f>
        <v>21</v>
      </c>
      <c r="L32" s="27" cm="1">
        <f t="array" ref="L32">SUMPRODUCT((INPUT!$A$5:$A$35=Resume!L$27)*(INPUT!$B$4:$AJ$4=Resume!$B32)*(INPUT!$B$5:$AJ$35))</f>
        <v>15</v>
      </c>
      <c r="M32" s="27" cm="1">
        <f t="array" ref="M32">SUMPRODUCT((INPUT!$A$5:$A$35=Resume!M$27)*(INPUT!$B$4:$AJ$4=Resume!$B32)*(INPUT!$B$5:$AJ$35))</f>
        <v>0</v>
      </c>
      <c r="N32" s="27" cm="1">
        <f t="array" ref="N32">SUMPRODUCT((INPUT!$A$5:$A$35=Resume!N$27)*(INPUT!$B$4:$AJ$4=Resume!$B32)*(INPUT!$B$5:$AJ$35))</f>
        <v>0</v>
      </c>
      <c r="O32" s="27" cm="1">
        <f t="array" ref="O32">SUMPRODUCT((INPUT!$A$5:$A$35=Resume!O$27)*(INPUT!$B$4:$AJ$4=Resume!$B32)*(INPUT!$B$5:$AJ$35))</f>
        <v>0</v>
      </c>
      <c r="P32" s="27" cm="1">
        <f t="array" ref="P32">SUMPRODUCT((INPUT!$A$5:$A$35=Resume!P$27)*(INPUT!$B$4:$AJ$4=Resume!$B32)*(INPUT!$B$5:$AJ$35))</f>
        <v>0</v>
      </c>
      <c r="Q32" s="27" cm="1">
        <f t="array" ref="Q32">SUMPRODUCT((INPUT!$A$5:$A$35=Resume!Q$27)*(INPUT!$B$4:$AJ$4=Resume!$B32)*(INPUT!$B$5:$AJ$35))</f>
        <v>0</v>
      </c>
      <c r="R32" s="27" cm="1">
        <f t="array" ref="R32">SUMPRODUCT((INPUT!$A$5:$A$35=Resume!R$27)*(INPUT!$B$4:$AJ$4=Resume!$B32)*(INPUT!$B$5:$AJ$35))</f>
        <v>0</v>
      </c>
      <c r="S32" s="27" cm="1">
        <f t="array" ref="S32">SUMPRODUCT((INPUT!$A$5:$A$35=Resume!S$27)*(INPUT!$B$4:$AJ$4=Resume!$B32)*(INPUT!$B$5:$AJ$35))</f>
        <v>0</v>
      </c>
      <c r="T32" s="27" cm="1">
        <f t="array" ref="T32">SUMPRODUCT((INPUT!$A$5:$A$35=Resume!T$27)*(INPUT!$B$4:$AJ$4=Resume!$B32)*(INPUT!$B$5:$AJ$35))</f>
        <v>0</v>
      </c>
      <c r="U32" s="27" cm="1">
        <f t="array" ref="U32">SUMPRODUCT((INPUT!$A$5:$A$35=Resume!U$27)*(INPUT!$B$4:$AJ$4=Resume!$B32)*(INPUT!$B$5:$AJ$35))</f>
        <v>0</v>
      </c>
      <c r="V32" s="27" cm="1">
        <f t="array" ref="V32">SUMPRODUCT((INPUT!$A$5:$A$35=Resume!V$27)*(INPUT!$B$4:$AJ$4=Resume!$B32)*(INPUT!$B$5:$AJ$35))</f>
        <v>0</v>
      </c>
      <c r="W32" s="27" cm="1">
        <f t="array" ref="W32">SUMPRODUCT((INPUT!$A$5:$A$35=Resume!W$27)*(INPUT!$B$4:$AJ$4=Resume!$B32)*(INPUT!$B$5:$AJ$35))</f>
        <v>0</v>
      </c>
      <c r="X32" s="27" cm="1">
        <f t="array" ref="X32">SUMPRODUCT((INPUT!$A$5:$A$35=Resume!X$27)*(INPUT!$B$4:$AJ$4=Resume!$B32)*(INPUT!$B$5:$AJ$35))</f>
        <v>0</v>
      </c>
      <c r="Y32" s="27" cm="1">
        <f t="array" ref="Y32">SUMPRODUCT((INPUT!$A$5:$A$35=Resume!Y$27)*(INPUT!$B$4:$AJ$4=Resume!$B32)*(INPUT!$B$5:$AJ$35))</f>
        <v>0</v>
      </c>
      <c r="Z32" s="27" cm="1">
        <f t="array" ref="Z32">SUMPRODUCT((INPUT!$A$5:$A$35=Resume!Z$27)*(INPUT!$B$4:$AJ$4=Resume!$B32)*(INPUT!$B$5:$AJ$35))</f>
        <v>0</v>
      </c>
      <c r="AA32" s="27" cm="1">
        <f t="array" ref="AA32">SUMPRODUCT((INPUT!$A$5:$A$35=Resume!AA$27)*(INPUT!$B$4:$AJ$4=Resume!$B32)*(INPUT!$B$5:$AJ$35))</f>
        <v>0</v>
      </c>
      <c r="AB32" s="27" cm="1">
        <f t="array" ref="AB32">SUMPRODUCT((INPUT!$A$5:$A$35=Resume!AB$27)*(INPUT!$B$4:$AJ$4=Resume!$B32)*(INPUT!$B$5:$AJ$35))</f>
        <v>0</v>
      </c>
      <c r="AC32" s="27" cm="1">
        <f t="array" ref="AC32">SUMPRODUCT((INPUT!$A$5:$A$35=Resume!AC$27)*(INPUT!$B$4:$AJ$4=Resume!$B32)*(INPUT!$B$5:$AJ$35))</f>
        <v>0</v>
      </c>
      <c r="AD32" s="27" cm="1">
        <f t="array" ref="AD32">SUMPRODUCT((INPUT!$A$5:$A$35=Resume!AD$27)*(INPUT!$B$4:$AJ$4=Resume!$B32)*(INPUT!$B$5:$AJ$35))</f>
        <v>0</v>
      </c>
      <c r="AE32" s="27" cm="1">
        <f t="array" ref="AE32">SUMPRODUCT((INPUT!$A$5:$A$35=Resume!AE$27)*(INPUT!$B$4:$AJ$4=Resume!$B32)*(INPUT!$B$5:$AJ$35))</f>
        <v>0</v>
      </c>
      <c r="AF32" s="27" cm="1">
        <f t="array" ref="AF32">SUMPRODUCT((INPUT!$A$5:$A$35=Resume!AF$27)*(INPUT!$B$4:$AJ$4=Resume!$B32)*(INPUT!$B$5:$AJ$35))</f>
        <v>0</v>
      </c>
      <c r="AG32" s="27" cm="1">
        <f t="array" ref="AG32">SUMPRODUCT((INPUT!$A$5:$A$35=Resume!AG$27)*(INPUT!$B$4:$AJ$4=Resume!$B32)*(INPUT!$B$5:$AJ$35))</f>
        <v>0</v>
      </c>
    </row>
    <row r="33" spans="2:33" x14ac:dyDescent="0.35">
      <c r="B33" s="31" t="s">
        <v>17</v>
      </c>
      <c r="C33" s="32">
        <f>SUM(C28:C32)</f>
        <v>144</v>
      </c>
      <c r="D33" s="32">
        <f>SUM(D28:D32)</f>
        <v>134</v>
      </c>
      <c r="E33" s="32">
        <f>SUM(E28:E32)</f>
        <v>123</v>
      </c>
      <c r="F33" s="32">
        <f>SUM(F28:F32)</f>
        <v>134</v>
      </c>
      <c r="G33" s="32">
        <f>SUM(G28:G32)</f>
        <v>98</v>
      </c>
      <c r="H33" s="32">
        <f>SUM(H28:H32)</f>
        <v>117</v>
      </c>
      <c r="I33" s="32">
        <f>SUM(I28:I32)</f>
        <v>123</v>
      </c>
      <c r="J33" s="32">
        <f>SUM(J28:J32)</f>
        <v>121</v>
      </c>
      <c r="K33" s="32">
        <f>SUM(K28:K32)</f>
        <v>125</v>
      </c>
      <c r="L33" s="32">
        <f>SUM(L28:L32)</f>
        <v>120</v>
      </c>
      <c r="M33" s="32">
        <f>SUM(M28:M32)</f>
        <v>0</v>
      </c>
      <c r="N33" s="32">
        <f>SUM(N28:N32)</f>
        <v>0</v>
      </c>
      <c r="O33" s="32">
        <f>SUM(O28:O32)</f>
        <v>0</v>
      </c>
      <c r="P33" s="32">
        <f>SUM(P28:P32)</f>
        <v>0</v>
      </c>
      <c r="Q33" s="32">
        <f>SUM(Q28:Q32)</f>
        <v>0</v>
      </c>
      <c r="R33" s="32">
        <f>SUM(R28:R32)</f>
        <v>0</v>
      </c>
      <c r="S33" s="32">
        <f>SUM(S28:S32)</f>
        <v>0</v>
      </c>
      <c r="T33" s="32">
        <f>SUM(T28:T32)</f>
        <v>0</v>
      </c>
      <c r="U33" s="32">
        <f>SUM(U28:U32)</f>
        <v>0</v>
      </c>
      <c r="V33" s="32">
        <f>SUM(V28:V32)</f>
        <v>0</v>
      </c>
      <c r="W33" s="32">
        <f>SUM(W28:W32)</f>
        <v>0</v>
      </c>
      <c r="X33" s="32">
        <f>SUM(X28:X32)</f>
        <v>0</v>
      </c>
      <c r="Y33" s="32">
        <f>SUM(Y28:Y32)</f>
        <v>0</v>
      </c>
      <c r="Z33" s="32">
        <f>SUM(Z28:Z32)</f>
        <v>0</v>
      </c>
      <c r="AA33" s="32">
        <f>SUM(AA28:AA32)</f>
        <v>0</v>
      </c>
      <c r="AB33" s="32">
        <f>SUM(AB28:AB32)</f>
        <v>0</v>
      </c>
      <c r="AC33" s="32">
        <f>SUM(AC28:AC32)</f>
        <v>0</v>
      </c>
      <c r="AD33" s="32">
        <f>SUM(AD28:AD32)</f>
        <v>0</v>
      </c>
      <c r="AE33" s="32">
        <f>SUM(AE28:AE32)</f>
        <v>0</v>
      </c>
      <c r="AF33" s="32">
        <f>SUM(AF28:AF32)</f>
        <v>0</v>
      </c>
      <c r="AG33" s="32">
        <f>SUM(AG28:AG32)</f>
        <v>0</v>
      </c>
    </row>
  </sheetData>
  <autoFilter ref="B3:H10" xr:uid="{B40C539B-7994-412C-B9A9-DCFCC39C5165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Resume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albani.baga</dc:creator>
  <cp:lastModifiedBy>albani.baga</cp:lastModifiedBy>
  <dcterms:created xsi:type="dcterms:W3CDTF">2026-09-07T15:43:54Z</dcterms:created>
  <dcterms:modified xsi:type="dcterms:W3CDTF">2026-09-09T16:46:53Z</dcterms:modified>
</cp:coreProperties>
</file>